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剧本总览" sheetId="2" state="visible" r:id="rId4"/>
    <sheet name="台词" sheetId="3" state="visible" r:id="rId5"/>
    <sheet name="分组统计" sheetId="4" state="visible" r:id="rId6"/>
    <sheet name="录音计划" sheetId="5" state="visible" r:id="rId7"/>
    <sheet name="虚构名称" sheetId="6" state="visible" r:id="rId8"/>
  </sheets>
  <definedNames>
    <definedName function="false" hidden="true" localSheetId="2" name="_xlnm._FilterDatabase" vbProcedure="false">台词!$A$4:$K$1059</definedName>
    <definedName function="false" hidden="true" localSheetId="4" name="_xlnm._FilterDatabase" vbProcedure="false">录音计划!$A$4:$L$76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<sst xmlns="http://schemas.openxmlformats.org/spreadsheetml/2006/main" count="6352" uniqueCount="2079">
  <si>
    <r>
      <rPr>
        <b val="true"/>
        <sz val="14"/>
        <color rgb="FF0F6E56"/>
        <rFont val="Noto Sans CJK SC"/>
        <family val="2"/>
      </rPr>
      <t xml:space="preserve">测评录音剧本 </t>
    </r>
    <r>
      <rPr>
        <b val="true"/>
        <sz val="14"/>
        <color rgb="FF0F6E56"/>
        <rFont val="微软雅黑"/>
        <family val="0"/>
        <charset val="1"/>
      </rPr>
      <t xml:space="preserve">· </t>
    </r>
    <r>
      <rPr>
        <b val="true"/>
        <sz val="14"/>
        <color rgb="FF0F6E56"/>
        <rFont val="Noto Sans CJK SC"/>
        <family val="2"/>
      </rPr>
      <t xml:space="preserve">旅游纠纷录音材料整理项目</t>
    </r>
  </si>
  <si>
    <t xml:space="preserve">整理日期</t>
  </si>
  <si>
    <t xml:space="preserve">2026-10-07</t>
  </si>
  <si>
    <t xml:space="preserve">内容</t>
  </si>
  <si>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组 </t>
    </r>
    <r>
      <rPr>
        <sz val="10"/>
        <color rgb="FF000000"/>
        <rFont val="微软雅黑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个剧本，共 </t>
    </r>
    <r>
      <rPr>
        <sz val="10"/>
        <color rgb="FF000000"/>
        <rFont val="微软雅黑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个虚构情景剧，</t>
    </r>
    <r>
      <rPr>
        <sz val="10"/>
        <color rgb="FF000000"/>
        <rFont val="微软雅黑"/>
        <family val="0"/>
        <charset val="1"/>
      </rPr>
      <t xml:space="preserve">1055 </t>
    </r>
    <r>
      <rPr>
        <sz val="10"/>
        <color rgb="FF000000"/>
        <rFont val="Noto Sans CJK SC"/>
        <family val="2"/>
      </rPr>
      <t xml:space="preserve">行台词</t>
    </r>
  </si>
  <si>
    <t xml:space="preserve">用途</t>
  </si>
  <si>
    <t xml:space="preserve">照剧本录音，剧本即录音的参考答案；同时提供说话人、话术类别、数字规范写法、热词等标注</t>
  </si>
  <si>
    <t xml:space="preserve">录音量</t>
  </si>
  <si>
    <r>
      <rPr>
        <sz val="10"/>
        <color rgb="FF000000"/>
        <rFont val="Noto Sans CJK SC"/>
        <family val="2"/>
      </rPr>
      <t xml:space="preserve">每个剧本 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种条件各录一遍，共 </t>
    </r>
    <r>
      <rPr>
        <sz val="10"/>
        <color rgb="FF000000"/>
        <rFont val="微软雅黑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个文件；预计每组每种条件 </t>
    </r>
    <r>
      <rPr>
        <sz val="10"/>
        <color rgb="FF000000"/>
        <rFont val="微软雅黑"/>
        <family val="0"/>
        <charset val="1"/>
      </rPr>
      <t xml:space="preserve">12—14 </t>
    </r>
    <r>
      <rPr>
        <sz val="10"/>
        <color rgb="FF000000"/>
        <rFont val="Noto Sans CJK SC"/>
        <family val="2"/>
      </rPr>
      <t xml:space="preserve">分钟，全班合计约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小时（见“分组统计”）</t>
    </r>
  </si>
  <si>
    <t xml:space="preserve">录音条件</t>
  </si>
  <si>
    <t xml:space="preserve">代码</t>
  </si>
  <si>
    <t xml:space="preserve">怎么录</t>
  </si>
  <si>
    <t xml:space="preserve">安静</t>
  </si>
  <si>
    <t xml:space="preserve">Q</t>
  </si>
  <si>
    <r>
      <rPr>
        <sz val="10"/>
        <color rgb="FF000000"/>
        <rFont val="Noto Sans CJK SC"/>
        <family val="2"/>
      </rPr>
      <t xml:space="preserve">安静的教室或会议室；手机平放在说话人中间的桌上，距离约 </t>
    </r>
    <r>
      <rPr>
        <sz val="10"/>
        <color rgb="FF000000"/>
        <rFont val="微软雅黑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厘米</t>
    </r>
  </si>
  <si>
    <t xml:space="preserve">嘈杂教室</t>
  </si>
  <si>
    <t xml:space="preserve">N</t>
  </si>
  <si>
    <t xml:space="preserve">课间或几组同时录音的教室；手机位置同上</t>
  </si>
  <si>
    <t xml:space="preserve">口袋或远距离</t>
  </si>
  <si>
    <t xml:space="preserve">F</t>
  </si>
  <si>
    <r>
      <rPr>
        <sz val="10"/>
        <color rgb="FF000000"/>
        <rFont val="Noto Sans CJK SC"/>
        <family val="2"/>
      </rPr>
      <t xml:space="preserve">手机放在一名演员的外衣口袋里，或放在离说话人 </t>
    </r>
    <r>
      <rPr>
        <sz val="10"/>
        <color rgb="FF000000"/>
        <rFont val="微软雅黑"/>
        <family val="0"/>
        <charset val="1"/>
      </rPr>
      <t xml:space="preserve">2—3 </t>
    </r>
    <r>
      <rPr>
        <sz val="10"/>
        <color rgb="FF000000"/>
        <rFont val="Noto Sans CJK SC"/>
        <family val="2"/>
      </rPr>
      <t xml:space="preserve">米外的桌角</t>
    </r>
  </si>
  <si>
    <t xml:space="preserve">统一设置</t>
  </si>
  <si>
    <r>
      <rPr>
        <sz val="10"/>
        <color rgb="FF000000"/>
        <rFont val="Noto Sans CJK SC"/>
        <family val="2"/>
      </rPr>
      <t xml:space="preserve">同一个录音 </t>
    </r>
    <r>
      <rPr>
        <sz val="10"/>
        <color rgb="FF000000"/>
        <rFont val="微软雅黑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16kHz </t>
    </r>
    <r>
      <rPr>
        <sz val="10"/>
        <color rgb="FF000000"/>
        <rFont val="Noto Sans CJK SC"/>
        <family val="2"/>
      </rPr>
      <t xml:space="preserve">单声道 </t>
    </r>
    <r>
      <rPr>
        <sz val="10"/>
        <color rgb="FF000000"/>
        <rFont val="微软雅黑"/>
        <family val="0"/>
        <charset val="1"/>
      </rPr>
      <t xml:space="preserve">WAV</t>
    </r>
    <r>
      <rPr>
        <sz val="10"/>
        <color rgb="FF000000"/>
        <rFont val="Noto Sans CJK SC"/>
        <family val="2"/>
      </rPr>
      <t xml:space="preserve">；文件名 </t>
    </r>
    <r>
      <rPr>
        <sz val="10"/>
        <color rgb="FF000000"/>
        <rFont val="微软雅黑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剧本编号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条件代码</t>
    </r>
    <r>
      <rPr>
        <sz val="10"/>
        <color rgb="FF000000"/>
        <rFont val="微软雅黑"/>
        <family val="0"/>
        <charset val="1"/>
      </rPr>
      <t xml:space="preserve">.wav</t>
    </r>
    <r>
      <rPr>
        <sz val="10"/>
        <color rgb="FF000000"/>
        <rFont val="Noto Sans CJK SC"/>
        <family val="2"/>
      </rPr>
      <t xml:space="preserve">，例如 </t>
    </r>
    <r>
      <rPr>
        <sz val="10"/>
        <color rgb="FF000000"/>
        <rFont val="微软雅黑"/>
        <family val="0"/>
        <charset val="1"/>
      </rPr>
      <t xml:space="preserve">G1-S1-Q.wav</t>
    </r>
  </si>
  <si>
    <t xml:space="preserve">使用步骤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</si>
  <si>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在“剧本总览”的“角色分配”栏写清谁演哪个角色。</t>
    </r>
  </si>
  <si>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照“台词”表录音；“动作与环境提示”一栏不念，只用于表演。</t>
    </r>
  </si>
  <si>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允许即兴改口，但录完必须对照录音修改“台词”列，以实际说了什么为准；有效字数和预计时长会自动重算。</t>
    </r>
  </si>
  <si>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每录完一个文件，在“录音计划”登记录音人、日期和实际时长；参考文本校对完成后，再放入共享数据池。</t>
    </r>
  </si>
  <si>
    <t xml:space="preserve">话术类别</t>
  </si>
  <si>
    <t xml:space="preserve">含义</t>
  </si>
  <si>
    <t xml:space="preserve">购物安排</t>
  </si>
  <si>
    <t xml:space="preserve">推荐、安排、推销购物或进店，商品介绍，游客对购物的回应</t>
  </si>
  <si>
    <t xml:space="preserve">费用</t>
  </si>
  <si>
    <t xml:space="preserve">价格、自费项目、团费、退款、小费等金额相关</t>
  </si>
  <si>
    <t xml:space="preserve">行程变更</t>
  </si>
  <si>
    <t xml:space="preserve">取消、压缩、调换行程或时间安排变动</t>
  </si>
  <si>
    <t xml:space="preserve">服务态度</t>
  </si>
  <si>
    <t xml:space="preserve">催促、敷衍、不耐烦，以及对态度的抱怨和道歉</t>
  </si>
  <si>
    <t xml:space="preserve">威胁消费</t>
  </si>
  <si>
    <t xml:space="preserve">以行程、住宿、服务等为条件含蓄施压要求消费（措辞温和，无辱骂、无人身威胁）</t>
  </si>
  <si>
    <t xml:space="preserve">正常讲解</t>
  </si>
  <si>
    <t xml:space="preserve">景点介绍、安全提醒、集合通知等正常导游工作</t>
  </si>
  <si>
    <t xml:space="preserve">其他</t>
  </si>
  <si>
    <t xml:space="preserve">寒暄、问路、附和，以及与上面无关的话</t>
  </si>
  <si>
    <t xml:space="preserve">其他列</t>
  </si>
  <si>
    <t xml:space="preserve">数字规范写法</t>
  </si>
  <si>
    <r>
      <rPr>
        <sz val="10"/>
        <color rgb="FF000000"/>
        <rFont val="Noto Sans CJK SC"/>
        <family val="2"/>
      </rPr>
      <t xml:space="preserve">台词里的数字一律按口语读法用汉字写；这一列给出规范写法（如 </t>
    </r>
    <r>
      <rPr>
        <sz val="10"/>
        <color rgb="FF000000"/>
        <rFont val="微软雅黑"/>
        <family val="0"/>
        <charset val="1"/>
      </rPr>
      <t xml:space="preserve">2800</t>
    </r>
    <r>
      <rPr>
        <sz val="10"/>
        <color rgb="FF000000"/>
        <rFont val="Noto Sans CJK SC"/>
        <family val="2"/>
      </rPr>
      <t xml:space="preserve">元、</t>
    </r>
    <r>
      <rPr>
        <sz val="10"/>
        <color rgb="FF000000"/>
        <rFont val="微软雅黑"/>
        <family val="0"/>
        <charset val="1"/>
      </rPr>
      <t xml:space="preserve">15:40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YN-0000-3721</t>
    </r>
    <r>
      <rPr>
        <sz val="10"/>
        <color rgb="FF000000"/>
        <rFont val="Noto Sans CJK SC"/>
        <family val="2"/>
      </rPr>
      <t xml:space="preserve">），供第 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组做规范化测评</t>
    </r>
  </si>
  <si>
    <t xml:space="preserve">热词</t>
  </si>
  <si>
    <r>
      <rPr>
        <sz val="10"/>
        <color rgb="FF000000"/>
        <rFont val="Noto Sans CJK SC"/>
        <family val="2"/>
      </rPr>
      <t xml:space="preserve">这句里出现的虚构名称、商品行话和地名，供第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组整理热词表、统计专名正确率</t>
    </r>
  </si>
  <si>
    <t xml:space="preserve">有效字数</t>
  </si>
  <si>
    <r>
      <rPr>
        <sz val="10"/>
        <color rgb="FF000000"/>
        <rFont val="Noto Sans CJK SC"/>
        <family val="2"/>
      </rPr>
      <t xml:space="preserve">只数汉字、字母和数字，不数标点和空格；与计算 </t>
    </r>
    <r>
      <rPr>
        <sz val="10"/>
        <color rgb="FF000000"/>
        <rFont val="微软雅黑"/>
        <family val="0"/>
        <charset val="1"/>
      </rPr>
      <t xml:space="preserve">CER </t>
    </r>
    <r>
      <rPr>
        <sz val="10"/>
        <color rgb="FF000000"/>
        <rFont val="Noto Sans CJK SC"/>
        <family val="2"/>
      </rPr>
      <t xml:space="preserve">时的口径一致</t>
    </r>
  </si>
  <si>
    <t xml:space="preserve">标注备注</t>
  </si>
  <si>
    <r>
      <rPr>
        <sz val="10"/>
        <color rgb="FF000000"/>
        <rFont val="Noto Sans CJK SC"/>
        <family val="2"/>
      </rPr>
      <t xml:space="preserve">需要提醒的标注难例，例如第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组 </t>
    </r>
    <r>
      <rPr>
        <sz val="10"/>
        <color rgb="FF000000"/>
        <rFont val="微软雅黑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中游客复述导游原话的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句</t>
    </r>
  </si>
  <si>
    <t xml:space="preserve">格式</t>
  </si>
  <si>
    <t xml:space="preserve">示例</t>
  </si>
  <si>
    <t xml:space="preserve">浅黄色底</t>
  </si>
  <si>
    <t xml:space="preserve">需要填写的单元格（角色分配、状态、录音人、日期、实际时长、勾选项）</t>
  </si>
  <si>
    <t xml:space="preserve">已录音</t>
  </si>
  <si>
    <t xml:space="preserve">蓝色数字</t>
  </si>
  <si>
    <t xml:space="preserve">可调整的参数（朗读语速、时长目标等）</t>
  </si>
  <si>
    <t xml:space="preserve">220</t>
  </si>
  <si>
    <t xml:space="preserve">黑色数字</t>
  </si>
  <si>
    <t xml:space="preserve">本表内的公式结果，不要直接改写</t>
  </si>
  <si>
    <t xml:space="preserve">4.3</t>
  </si>
  <si>
    <t xml:space="preserve">绿色数字</t>
  </si>
  <si>
    <t xml:space="preserve">引用其他工作表的公式</t>
  </si>
  <si>
    <t xml:space="preserve">47</t>
  </si>
  <si>
    <t xml:space="preserve">填写示例：角色分配写“导游：张三；游客甲：李四；游客乙：王五；司机：赵六”；状态和勾选项从下拉列表中选择。</t>
  </si>
  <si>
    <t xml:space="preserve">注意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</si>
  <si>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全部为虚构的教学情景剧。旅行社、店铺、酒店、人名、号码见“虚构名称”表；如与真实企业重名，请替换后再用。</t>
    </r>
  </si>
  <si>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内容只涉及购物、费用、行程和服务态度等商业纠纷，不含辱骂、威胁、政治、民族、宗教或地域内容；施压话术均为温和措辞。</t>
    </r>
  </si>
  <si>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景点介绍只用常识，课前请教师再核对一遍。</t>
    </r>
  </si>
  <si>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预计时长按朗读语速 </t>
    </r>
    <r>
      <rPr>
        <sz val="10"/>
        <color rgb="FF000000"/>
        <rFont val="微软雅黑"/>
        <family val="0"/>
        <charset val="1"/>
      </rPr>
      <t xml:space="preserve">220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分钟估算，可在“剧本总览”顶部修改；实际时长以录音文件为准。</t>
    </r>
  </si>
  <si>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录音只用学生本人的声音，录音前签署同意书；剧本和录音中不出现任何真实个人信息。</t>
    </r>
  </si>
  <si>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组 </t>
    </r>
    <r>
      <rPr>
        <sz val="10"/>
        <color rgb="FF000000"/>
        <rFont val="微软雅黑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中有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句是游客复述导游原话，按说话人意图标为“服务态度”，已在“标注备注”列注明；如按话题标注，可改为“威胁消费”。</t>
    </r>
  </si>
  <si>
    <r>
      <rPr>
        <b val="true"/>
        <sz val="14"/>
        <color rgb="FF0F6E56"/>
        <rFont val="Noto Sans CJK SC"/>
        <family val="2"/>
      </rPr>
      <t xml:space="preserve">剧本总览（</t>
    </r>
    <r>
      <rPr>
        <b val="true"/>
        <sz val="14"/>
        <color rgb="FF0F6E56"/>
        <rFont val="微软雅黑"/>
        <family val="0"/>
        <charset val="1"/>
      </rPr>
      <t xml:space="preserve">8 </t>
    </r>
    <r>
      <rPr>
        <b val="true"/>
        <sz val="14"/>
        <color rgb="FF0F6E56"/>
        <rFont val="Noto Sans CJK SC"/>
        <family val="2"/>
      </rPr>
      <t xml:space="preserve">组 </t>
    </r>
    <r>
      <rPr>
        <b val="true"/>
        <sz val="14"/>
        <color rgb="FF0F6E56"/>
        <rFont val="微软雅黑"/>
        <family val="0"/>
        <charset val="1"/>
      </rPr>
      <t xml:space="preserve">× 3 </t>
    </r>
    <r>
      <rPr>
        <b val="true"/>
        <sz val="14"/>
        <color rgb="FF0F6E56"/>
        <rFont val="Noto Sans CJK SC"/>
        <family val="2"/>
      </rPr>
      <t xml:space="preserve">个剧本）</t>
    </r>
  </si>
  <si>
    <t xml:space="preserve">台词行数、有效字数、预计时长由公式根据“台词”表自动计算。蓝色数字可改：朗读语速按实际试读情况调整，时长检查会随之更新。</t>
  </si>
  <si>
    <r>
      <rPr>
        <b val="true"/>
        <sz val="10"/>
        <color rgb="FF000000"/>
        <rFont val="Noto Sans CJK SC"/>
        <family val="2"/>
      </rPr>
      <t xml:space="preserve">朗读语速（字</t>
    </r>
    <r>
      <rPr>
        <b val="true"/>
        <sz val="10"/>
        <color rgb="FF000000"/>
        <rFont val="微软雅黑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分钟）</t>
    </r>
  </si>
  <si>
    <t xml:space="preserve">每个剧本时长下限（分钟）</t>
  </si>
  <si>
    <t xml:space="preserve">每个剧本时长上限（分钟）</t>
  </si>
  <si>
    <t xml:space="preserve">剧本编号</t>
  </si>
  <si>
    <t xml:space="preserve">组</t>
  </si>
  <si>
    <t xml:space="preserve">场景</t>
  </si>
  <si>
    <t xml:space="preserve">标题</t>
  </si>
  <si>
    <t xml:space="preserve">地点与背景</t>
  </si>
  <si>
    <t xml:space="preserve">角色</t>
  </si>
  <si>
    <t xml:space="preserve">本剧本侧重</t>
  </si>
  <si>
    <t xml:space="preserve">台词行数</t>
  </si>
  <si>
    <t xml:space="preserve">预计时长（分钟）</t>
  </si>
  <si>
    <t xml:space="preserve">时长检查</t>
  </si>
  <si>
    <t xml:space="preserve">角色分配（谁演谁）</t>
  </si>
  <si>
    <t xml:space="preserve">状态</t>
  </si>
  <si>
    <t xml:space="preserve">G1-S1</t>
  </si>
  <si>
    <t xml:space="preserve">大巴车上推销土特产</t>
  </si>
  <si>
    <t xml:space="preserve">石林路上推特产</t>
  </si>
  <si>
    <t xml:space="preserve">上午从昆明开往石林的旅游大巴上，云栖野渡旅行社的周导用车载扩音器介绍行程、推荐鲜花饼和普洱茶，并预告下午返程途中要停暮山特产超市；游客甲和游客乙是结伴报团的老同学。</t>
  </si>
  <si>
    <t xml:space="preserve">导游、司机、游客甲、游客乙</t>
  </si>
  <si>
    <t xml:space="preserve">导游扩音器长段讲解与游客“嗯”“好”等极短回应、后排小声议论交替出现，穿插修路颠簸、收费站提示音和三到八秒的车内静默，用来测试降噪后端点检测对短语音和长静音的切分。</t>
  </si>
  <si>
    <t xml:space="preserve">未开始</t>
  </si>
  <si>
    <t xml:space="preserve">G1-S2</t>
  </si>
  <si>
    <t xml:space="preserve">能不能不下车</t>
  </si>
  <si>
    <t xml:space="preserve">午饭后从楚雄开往大理的旅游大巴上，周导讲翡翠手镯怎么挑，并预告要在雾林茶舍停车；游客甲陪母亲游客乙出游，母亲有些晕车，想留在车上休息。</t>
  </si>
  <si>
    <t xml:space="preserve">游客乙是说话少、声音轻的长辈，回应多为一两个字，再加上隧道回声、扩音器开关声和长达十秒的车内静默，用来测试低能量语音和强背景噪声下的端点检测。</t>
  </si>
  <si>
    <t xml:space="preserve">G1-S3</t>
  </si>
  <si>
    <t xml:space="preserve">返程拒购与送机</t>
  </si>
  <si>
    <t xml:space="preserve">行程最后一天上午，旅游大巴从大理返回昆明，周导在车上再次推销雾林茶舍的茶叶和暮山特产超市的土特产，被游客明确拒绝后，转为返程安全提醒和长水机场送机安排；游客甲和游客乙是在团里才认识的两位散客。</t>
  </si>
  <si>
    <t xml:space="preserve">导游在扩音器远讲和放下扩音器近讲之间切换，夹杂游客干脆简短的拒绝、减速带颠簸、车载导航提示音等非台词声音和多次三到八秒的停顿，用来测试不同信噪比下的降噪效果和端点检测。</t>
  </si>
  <si>
    <t xml:space="preserve">G2-S1</t>
  </si>
  <si>
    <t xml:space="preserve">购物店“包厢式”推销</t>
  </si>
  <si>
    <t xml:space="preserve">玉石馆的小房间</t>
  </si>
  <si>
    <t xml:space="preserve">丽江青黛玉石馆二楼的贵宾小房间，店员站在房间另一头的展柜后讲解翡翠手镯，三位游客挤坐在门边的沙发上，录音手机在游客甲的外套口袋里。</t>
  </si>
  <si>
    <t xml:space="preserve">店员、游客甲、游客乙、游客丙</t>
  </si>
  <si>
    <t xml:space="preserve">店员隔着房间长段快速讲解、报价一路往下降，游客贴着口袋里的手机短促耳语，游客乙试戴时走远又走回，考查远场、口袋遮挡和远近交替下的识别。</t>
  </si>
  <si>
    <t xml:space="preserve">G2-S2</t>
  </si>
  <si>
    <t xml:space="preserve">竹溪茶仓品鉴室</t>
  </si>
  <si>
    <t xml:space="preserve">大理竹溪茶仓的品鉴室，店员坐在长茶台另一头边泡茶边推荐，马导站在门口帮腔，录音手机放在两位游客跟前的茶台角上。</t>
  </si>
  <si>
    <t xml:space="preserve">店员、导游、游客甲、游客乙</t>
  </si>
  <si>
    <t xml:space="preserve">手机在茶台角，店员隔着长茶台边泡边讲、不时转身取茶，导游在门口远处插话，两位游客在手机旁短句耳语，考查不同距离和朝向下的识别。</t>
  </si>
  <si>
    <t xml:space="preserve">G2-S3</t>
  </si>
  <si>
    <t xml:space="preserve">手工坊里透口气</t>
  </si>
  <si>
    <t xml:space="preserve">昆明晓月银坊后面的手工坊，店员在工作台前演示银壶和银饰，经理在屋里来回走动宣传今天特价，屋里人多有点闷，录音手机在游客乙的裤兜里。</t>
  </si>
  <si>
    <t xml:space="preserve">店员、经理、游客甲、游客乙</t>
  </si>
  <si>
    <t xml:space="preserve">店员在远处工作台边敲边讲，经理边走边说、忽远忽近，母女俩贴着裤兜里的手机耳语，最后边走边说出门，考查口袋录音、移动声源和背景敲击声下的识别。</t>
  </si>
  <si>
    <t xml:space="preserve">G3-S1</t>
  </si>
  <si>
    <t xml:space="preserve">擅自变更行程</t>
  </si>
  <si>
    <t xml:space="preserve">游船改去体验中心</t>
  </si>
  <si>
    <t xml:space="preserve">行程第二天早上八点，大理澄溪假日酒店大堂，青岫远途旅行社的李导召集游客，宣布原定上午的洱海游船取消、改去一个“体验中心”，游客们七嘴八舌地质疑，有人翻出行程单逐条对照。</t>
  </si>
  <si>
    <t xml:space="preserve">导游、游客甲、游客乙、游客丙、游客丁</t>
  </si>
  <si>
    <t xml:space="preserve">导游先连续宣布一大段，随后四名游客短句抢话、打断、附和，多处标注重叠和几个人同时说；游客甲、游客乙是结伴出游的两位退休老同事，观点一致、常重复对方的话，宜由声线相近的同学扮演，用来测试说话人分离对快速换人和相似声音的区分。</t>
  </si>
  <si>
    <t xml:space="preserve">G3-S2</t>
  </si>
  <si>
    <t xml:space="preserve">三小时变一小时</t>
  </si>
  <si>
    <t xml:space="preserve">行程第三天上午十点，青岫远途旅行社的团刚从城门走进大理古城，李导在城门边的空地上把合同约定的三小时游览压缩成一小时，游客拿出合同要求按约定来，李导打电话给张经理并开了外放。</t>
  </si>
  <si>
    <t xml:space="preserve">导游、游客甲、游客乙、游客丙、经理</t>
  </si>
  <si>
    <t xml:space="preserve">现场四人轮流抢话，与电话外放里的经理交替出现，经理有一长段连续讲话，游客还凑近手机插话；游客甲、游客乙是结伴报团的两个年轻同事，观点一致、说话方式几乎一样，宜由声线相近的两位同学扮演，用来测试说话人分离对电话声道、相似声音和插话的区分。</t>
  </si>
  <si>
    <t xml:space="preserve">G3-S3</t>
  </si>
  <si>
    <t xml:space="preserve">酒店换成远山客栈</t>
  </si>
  <si>
    <t xml:space="preserve">行程第一天晚上九点多，旅游车停在离大理古城较远的远山客栈门口，游客发现合同上的澄溪假日酒店被换掉，大理和丽江的游览顺序也被调换，游客代表与李导和随后赶来的张经理当面协商。</t>
  </si>
  <si>
    <t xml:space="preserve">导游、经理、游客甲、游客乙、游客丙</t>
  </si>
  <si>
    <t xml:space="preserve">导游、经理、游客代表三方轮流交涉，游客甲、游客乙是一对说话腔调相近的姐妹，常抢着接话、同时附和；游客代表有一段很长的连续陈述，导游最后念一遍协议，用来测试说话人分离在多方协商、长段与短句交替时的稳定性。</t>
  </si>
  <si>
    <t xml:space="preserve">G4-S1</t>
  </si>
  <si>
    <t xml:space="preserve">自费项目费用纠纷</t>
  </si>
  <si>
    <t xml:space="preserve">《云上花间》含不含</t>
  </si>
  <si>
    <t xml:space="preserve">丽江一家酒店的大堂，行程第三天晚饭后，导游通知晚上的自费演出，游客拿出合同和导游核对条款与价格。</t>
  </si>
  <si>
    <t xml:space="preserve">导游、游客甲、游客乙、经理</t>
  </si>
  <si>
    <t xml:space="preserve">演出单价、团费、定金、尾款、差价、退款、人数、排数、房间号、时间日期和合同编号密集出现，同一金额与编号换用多种口语读法，并穿插“一分没少”“十分抱歉”等非数字用法，练习数字识别与规范化。</t>
  </si>
  <si>
    <t xml:space="preserve">G4-S2</t>
  </si>
  <si>
    <t xml:space="preserve">没坐的钱怎么退</t>
  </si>
  <si>
    <t xml:space="preserve">大理附近一处湖边景区的出口停车场，下午四点多，部分游客没坐望湖索道或环湖电瓶车，大家围着导游算退款。</t>
  </si>
  <si>
    <t xml:space="preserve">导游、游客甲、游客乙、游客丙</t>
  </si>
  <si>
    <t xml:space="preserve">团队价与门市价、人数乘单价、多笔相加、算重后重算、百分比手续费、现金点数和时间调整，集中练习口算场景中金额与人数的识别与规范化。</t>
  </si>
  <si>
    <t xml:space="preserve">G4-S3</t>
  </si>
  <si>
    <t xml:space="preserve">返程车上对账单</t>
  </si>
  <si>
    <t xml:space="preserve">行程最后一天下午，从石林返回昆明的大巴上，导游逐项核对一对夫妻的自费账单，游客记下各类号码准备咨询。</t>
  </si>
  <si>
    <t xml:space="preserve">导游、游客甲、游客乙、司机</t>
  </si>
  <si>
    <t xml:space="preserve">自费单价、合计、预交、九折、带小数的金额、日期、时间、里程，以及导游证号、旅行社电话、合同编号、订单号和热线号码的多种读法（含“幺”“四个零”“两个六两个八”），并夹有“一五一十”“一分不少”等不应转成阿拉伯数字的说法，集中练习号码与金额的规范化。</t>
  </si>
  <si>
    <t xml:space="preserve">G5-S1</t>
  </si>
  <si>
    <t xml:space="preserve">兜售物品、索要小费</t>
  </si>
  <si>
    <t xml:space="preserve">杨导家的古树茶</t>
  </si>
  <si>
    <t xml:space="preserve">从大理开往丽江的旅游大巴上，雾隐行舟旅行社的杨导用车载扩音器推销自家茶叶，一对退休夫妻边尝边比价。</t>
  </si>
  <si>
    <t xml:space="preserve">茶叶品牌与两家旅行社名称在全称、简称、口误之间反复切换并被纠正，夹杂生普、熟普、古树茶和多个云南地名，考察热词识别。</t>
  </si>
  <si>
    <t xml:space="preserve">G5-S2</t>
  </si>
  <si>
    <t xml:space="preserve">景区门口的服务费</t>
  </si>
  <si>
    <t xml:space="preserve">大理一处景区入口外的集合点，地接社导游杨导发门票前要求每人交服务费，几位结伴出游的同事翻出合同质疑。</t>
  </si>
  <si>
    <t xml:space="preserve">组团社与地接社两个名称交替出现、被游客说串又改正，叠加行程地名和商品名，考察费用纠纷对话中的热词识别。</t>
  </si>
  <si>
    <t xml:space="preserve">G5-S3</t>
  </si>
  <si>
    <t xml:space="preserve">饭桌上的三家店</t>
  </si>
  <si>
    <t xml:space="preserve">丽江一家餐馆的晚饭桌上，杨导向一对来拍婚纱照的准新人和他们的朋友推荐玉器行、珠宝店和银坊。</t>
  </si>
  <si>
    <t xml:space="preserve">三家店名的全称、简称和口误反复出现并被逐字纠正，叠加冰种、糯种、飘花、足银九九九等行话，考察热词识别。</t>
  </si>
  <si>
    <t xml:space="preserve">G6-S1</t>
  </si>
  <si>
    <t xml:space="preserve">言语施压、强迫消费（措辞温和）</t>
  </si>
  <si>
    <t xml:space="preserve">玉器城门口的暗示</t>
  </si>
  <si>
    <t xml:space="preserve">第一天上午，昆明锦程玉器城门口，购物时间快结束，导游集合十二名游客，下午原定去石林。</t>
  </si>
  <si>
    <t xml:space="preserve">导游、游客甲、游客乙、店员</t>
  </si>
  <si>
    <t xml:space="preserve">导游用多种含蓄说法把下午石林的游览和消费挂钩，夹杂店员的正常推销和游客的不同回应，测试分类器区分“威胁消费”与普通“购物安排”“费用”的能力。</t>
  </si>
  <si>
    <t xml:space="preserve">G6-S2</t>
  </si>
  <si>
    <t xml:space="preserve">车上念合同</t>
  </si>
  <si>
    <t xml:space="preserve">第二天上午，从昆明开往大理的旅游中巴上，导游用车载扩音器讲话，车上是同一个五天四晚团。</t>
  </si>
  <si>
    <t xml:space="preserve">导游、司机、游客丙、游客丁</t>
  </si>
  <si>
    <t xml:space="preserve">施压从团费低、同行对比、住宿调整等角度不断换说法，并与正常的费用说明和合同条款交错出现，测试分类器是否只记住了固定句式。</t>
  </si>
  <si>
    <t xml:space="preserve">G6-S3</t>
  </si>
  <si>
    <t xml:space="preserve">晚饭前的单独沟通</t>
  </si>
  <si>
    <t xml:space="preserve">第三天傍晚，丽江一家餐厅外的小院，晚饭开席前，被大家推为代表的游客乙单独找导游沟通。</t>
  </si>
  <si>
    <t xml:space="preserve">导游、游客乙、游客甲</t>
  </si>
  <si>
    <t xml:space="preserve">导游一对一施压改用好处交换等新说法，代表复述原话的句子按说话人意图标为“服务态度”，检验分类器能否区分“施压”与“复述施压”。</t>
  </si>
  <si>
    <t xml:space="preserve">G7-S1</t>
  </si>
  <si>
    <t xml:space="preserve">服务态度纠纷</t>
  </si>
  <si>
    <t xml:space="preserve">迟到的二十分钟</t>
  </si>
  <si>
    <t xml:space="preserve">昆明临湖酒店门口，早上，半山观澜旅行社一日游约好八点集合去翠湖和滇池，导游迟到二十分钟且没有解释。</t>
  </si>
  <si>
    <r>
      <rPr>
        <sz val="10"/>
        <color rgb="FF000000"/>
        <rFont val="Noto Sans CJK SC"/>
        <family val="2"/>
      </rPr>
      <t xml:space="preserve">迟到场景中导游先敷衍、后道歉并调整安排，提供抱怨、敷衍、道歉等“服务态度”句，并混有行程变更、正常讲解和其他句，作为 </t>
    </r>
    <r>
      <rPr>
        <sz val="10"/>
        <color rgb="FF000000"/>
        <rFont val="微软雅黑"/>
        <family val="0"/>
        <charset val="1"/>
      </rPr>
      <t xml:space="preserve">TensorFlow </t>
    </r>
    <r>
      <rPr>
        <sz val="10"/>
        <color rgb="FF000000"/>
        <rFont val="Noto Sans CJK SC"/>
        <family val="2"/>
      </rPr>
      <t xml:space="preserve">话术分类（模型 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）与第六组模型对比的测试素材。</t>
    </r>
  </si>
  <si>
    <t xml:space="preserve">G7-S2</t>
  </si>
  <si>
    <t xml:space="preserve">别再催我爸了</t>
  </si>
  <si>
    <t xml:space="preserve">大理古城的石板街上，下午，半山观澜旅行社的团步行游览，一位七十多岁的游客走得慢，导游一再催促。</t>
  </si>
  <si>
    <r>
      <rPr>
        <sz val="10"/>
        <color rgb="FF000000"/>
        <rFont val="Noto Sans CJK SC"/>
        <family val="2"/>
      </rPr>
      <t xml:space="preserve">反复催促年长游客的场景，提供多种温和的催促说法和替人说话、道歉的句子，并与安全提醒、集合通知等“正常讲解”句对照，测试模型 </t>
    </r>
    <r>
      <rPr>
        <sz val="10"/>
        <color rgb="FF000000"/>
        <rFont val="微软雅黑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区分催促与正常提醒的能力。</t>
    </r>
  </si>
  <si>
    <t xml:space="preserve">G7-S3</t>
  </si>
  <si>
    <t xml:space="preserve">我讲过一遍了</t>
  </si>
  <si>
    <t xml:space="preserve">石林景区入口附近的观景平台，上午，半山观澜旅行社的团刚到，一个孩子问石林是怎么形成的，导游起初敷衍应付。</t>
  </si>
  <si>
    <r>
      <rPr>
        <sz val="10"/>
        <color rgb="FF000000"/>
        <rFont val="Noto Sans CJK SC"/>
        <family val="2"/>
      </rPr>
      <t xml:space="preserve">同一景点里先有敷衍回答、后有正常讲解，测试模型 </t>
    </r>
    <r>
      <rPr>
        <sz val="10"/>
        <color rgb="FF000000"/>
        <rFont val="微软雅黑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能否区分“服务态度”和“正常讲解”这两类内容相近的句子。</t>
    </r>
  </si>
  <si>
    <t xml:space="preserve">G8-S1</t>
  </si>
  <si>
    <t xml:space="preserve">正常讲解（对照组）</t>
  </si>
  <si>
    <t xml:space="preserve">石林游览不走散</t>
  </si>
  <si>
    <t xml:space="preserve">上午的石林景区，星野云途旅行社的何导带一个散客拼团从入口步行游览，一路讲解路线、景观、安全和集合安排，全程没有任何纠纷。</t>
  </si>
  <si>
    <t xml:space="preserve">对照组剧本：导游有三句连在一起的长讲解便于测时间戳对齐，“团费”“自费”“购物点”“时间调整”“支持”等词都按正常用法出现，可逐句导出证据片段，统计正常讲解被误标为纠纷的误报率。</t>
  </si>
  <si>
    <t xml:space="preserve">G8-S2</t>
  </si>
  <si>
    <t xml:space="preserve">海埂大坝看红嘴鸥</t>
  </si>
  <si>
    <t xml:space="preserve">冬天上午，星野云途旅行社的何导和司机带一个由几个家庭拼成的小团，从昆明市区坐车到滇池边的海埂大坝看红嘴鸥，全程没有任何纠纷。</t>
  </si>
  <si>
    <t xml:space="preserve">导游、司机、游客甲、游客乙、游客丙</t>
  </si>
  <si>
    <t xml:space="preserve">对照组剧本：在鸟叫和风声的户外背景下安排导游三句连续长讲解测时间戳对齐，“集合时间调整”“讲解费用包含在团费里”“鸥粮自费”“自由购物”等正常说法用于导出证据片段、统计误报率。</t>
  </si>
  <si>
    <t xml:space="preserve">G8-S3</t>
  </si>
  <si>
    <t xml:space="preserve">古城漫步洱海骑行</t>
  </si>
  <si>
    <t xml:space="preserve">大理，因为下午可能下雨，星野云途旅行社的何导征得游客同意后改为上午洱海边骑行、下午步行游览大理古城，租车点店员协助说明，全程没有任何纠纷。</t>
  </si>
  <si>
    <t xml:space="preserve">导游、店员、游客甲、游客乙、游客丙</t>
  </si>
  <si>
    <t xml:space="preserve">对照组剧本：集中出现“时间调整”“押金”“自费”“加钱”“自由购物时间”“包含在团费里”等容易触发误报的正常说法，配合骑行安全的三句连续长讲解，用于时间戳对齐、证据片段导出和误报率统计。</t>
  </si>
  <si>
    <t xml:space="preserve">合计</t>
  </si>
  <si>
    <t xml:space="preserve">全部台词（录音参考文本）</t>
  </si>
  <si>
    <t xml:space="preserve">每句一行。“动作与环境提示”一栏不念，只用于表演。允许即兴改口，但录完必须对照录音修改“台词”列，以实际说了什么为准；修改后有效字数和预计时长会自动重算。可用表头的筛选按钮按剧本、组或话术类别筛选。</t>
  </si>
  <si>
    <t xml:space="preserve">行号</t>
  </si>
  <si>
    <t xml:space="preserve">说话人</t>
  </si>
  <si>
    <t xml:space="preserve">台词（参考文本）</t>
  </si>
  <si>
    <t xml:space="preserve">动作与环境提示（不念）</t>
  </si>
  <si>
    <t xml:space="preserve">导游</t>
  </si>
  <si>
    <t xml:space="preserve">喂，喂？后面的朋友听得到吗？听得到的举个手。</t>
  </si>
  <si>
    <t xml:space="preserve">（用车载扩音器）（扩音器先尖啸一声）</t>
  </si>
  <si>
    <t xml:space="preserve">游客甲</t>
  </si>
  <si>
    <t xml:space="preserve">听得到！</t>
  </si>
  <si>
    <t xml:space="preserve">（坐在后排，提高声音）</t>
  </si>
  <si>
    <t xml:space="preserve">好，那我先简单介绍一下。我是云栖野渡旅行社的导游，我姓周，大家叫我周导就行。给我们开车的是司机师傅，开了二十多年车了，大家放心。</t>
  </si>
  <si>
    <t xml:space="preserve">（用车载扩音器）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</si>
  <si>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多年</t>
    </r>
  </si>
  <si>
    <t xml:space="preserve">云栖野渡旅行社；周导</t>
  </si>
  <si>
    <t xml:space="preserve">司机</t>
  </si>
  <si>
    <t xml:space="preserve">大家好。</t>
  </si>
  <si>
    <t xml:space="preserve">（在驾驶座，未用扩音器，声音较远）</t>
  </si>
  <si>
    <t xml:space="preserve">游客乙</t>
  </si>
  <si>
    <t xml:space="preserve">师傅好。</t>
  </si>
  <si>
    <t xml:space="preserve">（与上一句部分重叠）</t>
  </si>
  <si>
    <t xml:space="preserve">我们现在已经出了昆明，往石林方向开，走高速大概还要一个多小时。路上大家把安全带系好，哪里不舒服随时跟我说。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</si>
  <si>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个多小时</t>
    </r>
  </si>
  <si>
    <t xml:space="preserve">昆明；石林</t>
  </si>
  <si>
    <t xml:space="preserve">好。</t>
  </si>
  <si>
    <t xml:space="preserve">石林呢，是比较典型的喀斯特地貌。就是说，石灰岩经过很长时间的溶蚀，变成一根一根的石柱子，远远看过去像一片树林，所以叫石林。</t>
  </si>
  <si>
    <t xml:space="preserve">石林</t>
  </si>
  <si>
    <t xml:space="preserve">里面台阶多，路也长，今天穿高跟鞋的朋友，嗯，那个，可能会有点辛苦。大家带好水和帽子。</t>
  </si>
  <si>
    <t xml:space="preserve">还好我穿的是运动鞋。</t>
  </si>
  <si>
    <t xml:space="preserve">（游客在后排小声说）</t>
  </si>
  <si>
    <t xml:space="preserve">嗯。</t>
  </si>
  <si>
    <t xml:space="preserve">（小声）</t>
  </si>
  <si>
    <t xml:space="preserve">好，趁着路上还有点时间，跟大家聊聊这边的特产。来昆明玩，有两样东西大家多半都听说过，一个是鲜花饼，一个是普洱茶。</t>
  </si>
  <si>
    <t xml:space="preserve">（过了一会儿）（车内安静约五秒，只有发动机声）（用车载扩音器）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</si>
  <si>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样</t>
    </r>
  </si>
  <si>
    <t xml:space="preserve">昆明；鲜花饼；普洱茶</t>
  </si>
  <si>
    <t xml:space="preserve">鲜花饼就是用食用玫瑰做馅儿的酥饼，皮是酥的，里面甜甜的，有一股花香，老人小孩都爱吃。</t>
  </si>
  <si>
    <t xml:space="preserve">鲜花饼；食用玫瑰</t>
  </si>
  <si>
    <t xml:space="preserve">这个我知道，我同事上回带过一盒，挺好吃的。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</si>
  <si>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盒</t>
    </r>
  </si>
  <si>
    <t xml:space="preserve">对对对。普洱茶呢，分生茶和熟茶，生茶味道清一点，熟茶颜色深一点，喝起来醇一些。一般压成茶饼，常见的一饼是三百五十七克。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</si>
  <si>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饼；</t>
    </r>
    <r>
      <rPr>
        <sz val="10"/>
        <color rgb="FF000000"/>
        <rFont val="微软雅黑"/>
        <family val="0"/>
        <charset val="1"/>
      </rPr>
      <t xml:space="preserve">357</t>
    </r>
    <r>
      <rPr>
        <sz val="10"/>
        <color rgb="FF000000"/>
        <rFont val="Noto Sans CJK SC"/>
        <family val="2"/>
      </rPr>
      <t xml:space="preserve">克</t>
    </r>
  </si>
  <si>
    <t xml:space="preserve">普洱茶；生茶；熟茶；茶饼</t>
  </si>
  <si>
    <t xml:space="preserve">前面这段在修路，有点颠，大家坐稳啊。</t>
  </si>
  <si>
    <t xml:space="preserve">（车辆颠簸）</t>
  </si>
  <si>
    <t xml:space="preserve">哎哟。</t>
  </si>
  <si>
    <t xml:space="preserve">（车辆颠簸时短促出声）</t>
  </si>
  <si>
    <t xml:space="preserve">没事吧大家？好。下午从石林出来，回昆明的路上，我们会在暮山特产超市停四十分钟。</t>
  </si>
  <si>
    <t xml:space="preserve">（停顿约三秒）（用车载扩音器）</t>
  </si>
  <si>
    <r>
      <rPr>
        <sz val="10"/>
        <color rgb="FF000000"/>
        <rFont val="微软雅黑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分钟</t>
    </r>
  </si>
  <si>
    <t xml:space="preserve">石林；昆明；暮山特产超市</t>
  </si>
  <si>
    <t xml:space="preserve">里面鲜花饼、普洱茶、火腿、小粒咖啡都有。鲜花饼十个一盒，五十八块，买两盒送一个手提袋，坐飞机拎着也方便。</t>
  </si>
  <si>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个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盒；</t>
    </r>
    <r>
      <rPr>
        <sz val="10"/>
        <color rgb="FF000000"/>
        <rFont val="微软雅黑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盒；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个</t>
    </r>
  </si>
  <si>
    <t xml:space="preserve">鲜花饼；普洱茶；火腿；小粒咖啡</t>
  </si>
  <si>
    <t xml:space="preserve">周导，那边能帮忙寄快递吗？我想给家里寄几盒。</t>
  </si>
  <si>
    <t xml:space="preserve">周导</t>
  </si>
  <si>
    <t xml:space="preserve">可以的，超市里就能打包寄，邮费另外算。</t>
  </si>
  <si>
    <t xml:space="preserve">那行，到时候我去看看。</t>
  </si>
  <si>
    <t xml:space="preserve">这种店里的东西肯定比外面贵，你别一下子买太多。</t>
  </si>
  <si>
    <t xml:space="preserve">知道了。</t>
  </si>
  <si>
    <t xml:space="preserve">后排那位朋友，您平时喝不喝普洱？</t>
  </si>
  <si>
    <t xml:space="preserve">普洱</t>
  </si>
  <si>
    <t xml:space="preserve">喝啊，家里还有好几饼没拆呢。</t>
  </si>
  <si>
    <t xml:space="preserve">那正好可以对比一下嘛，我们那边的熟茶都是……</t>
  </si>
  <si>
    <t xml:space="preserve">（用车载扩音器）（说到一半被打断）</t>
  </si>
  <si>
    <t xml:space="preserve">熟茶</t>
  </si>
  <si>
    <t xml:space="preserve">不用不用，我这次不买茶，真的。</t>
  </si>
  <si>
    <t xml:space="preserve">好，好，不买也没关系，进去看看、上个洗手间也行。</t>
  </si>
  <si>
    <t xml:space="preserve">（停顿约两秒）</t>
  </si>
  <si>
    <t xml:space="preserve">周导，前面收费站了。</t>
  </si>
  <si>
    <t xml:space="preserve">（车辆减速）</t>
  </si>
  <si>
    <t xml:space="preserve">要得。</t>
  </si>
  <si>
    <t xml:space="preserve">（放下扩音器，对司机说）</t>
  </si>
  <si>
    <t xml:space="preserve">周导，停超市会不会占石林的时间啊？</t>
  </si>
  <si>
    <t xml:space="preserve">（车内安静约五秒，过收费站时有提示音）（提高声音）</t>
  </si>
  <si>
    <t xml:space="preserve">周导；石林</t>
  </si>
  <si>
    <t xml:space="preserve">不会不会，石林给大家留足两个半小时，超市是回来顺路停的，不影响。</t>
  </si>
  <si>
    <r>
      <rPr>
        <sz val="10"/>
        <color rgb="FF000000"/>
        <rFont val="微软雅黑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小时</t>
    </r>
  </si>
  <si>
    <t xml:space="preserve">那还行。</t>
  </si>
  <si>
    <t xml:space="preserve">不过鲜花饼外面也就三四十块一盒吧？</t>
  </si>
  <si>
    <r>
      <rPr>
        <sz val="10"/>
        <color rgb="FF000000"/>
        <rFont val="微软雅黑"/>
        <family val="0"/>
        <charset val="1"/>
      </rPr>
      <t xml:space="preserve">30-40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盒</t>
    </r>
  </si>
  <si>
    <t xml:space="preserve">鲜花饼</t>
  </si>
  <si>
    <t xml:space="preserve">那不一样，外面有的是机器做的，个头小，我们那边是当天现烤的。当然了，买不买都看大家自己。</t>
  </si>
  <si>
    <t xml:space="preserve">反正我是不买。</t>
  </si>
  <si>
    <t xml:space="preserve">好好好，你不买，我买两盒总行了吧。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</si>
  <si>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盒</t>
    </r>
  </si>
  <si>
    <t xml:space="preserve">行。</t>
  </si>
  <si>
    <t xml:space="preserve">好，各位，马上到石林了，我把集合时间说一下，大家拿手机记一下。</t>
  </si>
  <si>
    <t xml:space="preserve">（又过了一段时间）（车内安静约八秒）（用车载扩音器）</t>
  </si>
  <si>
    <t xml:space="preserve">等一下等一下，我找一下手机。</t>
  </si>
  <si>
    <t xml:space="preserve">好了吗？</t>
  </si>
  <si>
    <t xml:space="preserve">（停顿约三秒）</t>
  </si>
  <si>
    <t xml:space="preserve">好了。</t>
  </si>
  <si>
    <t xml:space="preserve">现在是九点五十，大概十点到停车场。进去以后前面一段跟着我走，后面自由活动，十二点在停车场集合，不是，我是说十二点半，就是等一下下车的这个地方。</t>
  </si>
  <si>
    <r>
      <rPr>
        <sz val="10"/>
        <color rgb="FF000000"/>
        <rFont val="微软雅黑"/>
        <family val="0"/>
        <charset val="1"/>
      </rPr>
      <t xml:space="preserve">9:50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10:00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12:30</t>
    </r>
  </si>
  <si>
    <t xml:space="preserve">我们这辆车，前面贴着云栖野渡旅行社的牌子，大家认准了，别上错车。</t>
  </si>
  <si>
    <t xml:space="preserve">云栖野渡旅行社</t>
  </si>
  <si>
    <t xml:space="preserve">十二点半，停车场，记住了。</t>
  </si>
  <si>
    <t xml:space="preserve">12:30</t>
  </si>
  <si>
    <t xml:space="preserve">中午一点在景区外面吃团餐，团餐是含在团费里的，大家不用另外交钱。</t>
  </si>
  <si>
    <t xml:space="preserve">13:00</t>
  </si>
  <si>
    <t xml:space="preserve">到了到了，大家等车停稳了再起来。</t>
  </si>
  <si>
    <t xml:space="preserve">（车辆减速）（转向灯提示音持续）</t>
  </si>
  <si>
    <t xml:space="preserve">莫急莫急，前面的朋友先下。最后再说一遍，十二点半，停车场集合，大家准时啊。</t>
  </si>
  <si>
    <t xml:space="preserve">好嘞。</t>
  </si>
  <si>
    <t xml:space="preserve">各位，午饭都吃好了吧？在睡觉的朋友先醒一醒啊，周导跟大家聊几句。</t>
  </si>
  <si>
    <t xml:space="preserve">（扩音器开关咔哒一声）（用车载扩音器）</t>
  </si>
  <si>
    <t xml:space="preserve">嗯……</t>
  </si>
  <si>
    <t xml:space="preserve">（刚睡醒，声音含糊）</t>
  </si>
  <si>
    <t xml:space="preserve">我们现在已经出了楚雄，往大理方向走，后面还有两个多小时的车程。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</si>
  <si>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个多小时</t>
    </r>
  </si>
  <si>
    <t xml:space="preserve">楚雄；大理</t>
  </si>
  <si>
    <t xml:space="preserve">很多朋友来这边玩，都想给自己或者家里人带个手镯。今天周导就教教大家，翡翠手镯怎么看，学会了以后不管在哪儿买，都不容易吃亏。</t>
  </si>
  <si>
    <t xml:space="preserve">周导；翡翠；手镯</t>
  </si>
  <si>
    <t xml:space="preserve">（声音很轻）</t>
  </si>
  <si>
    <t xml:space="preserve">翡翠主要看种水色。种就是质地，像冰种就比较透；糯种呢，就像糯米汤那种感觉，细腻一点，柔和一点。</t>
  </si>
  <si>
    <t xml:space="preserve">翡翠；种水色；冰种；糯种</t>
  </si>
  <si>
    <r>
      <rPr>
        <sz val="10"/>
        <color rgb="FF000000"/>
        <rFont val="Noto Sans CJK SC"/>
        <family val="2"/>
      </rPr>
      <t xml:space="preserve">还有一个，一定要看证书。没处理过的天然翡翠，行话叫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货，正规证书上会写清楚有没有处理过。</t>
    </r>
  </si>
  <si>
    <r>
      <rPr>
        <sz val="10"/>
        <color rgb="FF000000"/>
        <rFont val="Noto Sans CJK SC"/>
        <family val="2"/>
      </rPr>
      <t xml:space="preserve">翡翠；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货</t>
    </r>
  </si>
  <si>
    <t xml:space="preserve">妈，你不是一直说想要个镯子吗？</t>
  </si>
  <si>
    <t xml:space="preserve">镯子</t>
  </si>
  <si>
    <t xml:space="preserve">不要，贵。</t>
  </si>
  <si>
    <t xml:space="preserve">周导，这种手镯一般多少钱啊？</t>
  </si>
  <si>
    <t xml:space="preserve">（提高声音）</t>
  </si>
  <si>
    <t xml:space="preserve">周导；手镯</t>
  </si>
  <si>
    <t xml:space="preserve">那差别就大了，便宜的八九百，好一点的两三万的也有，主要看种水。</t>
  </si>
  <si>
    <r>
      <rPr>
        <sz val="10"/>
        <color rgb="FF000000"/>
        <rFont val="微软雅黑"/>
        <family val="0"/>
        <charset val="1"/>
      </rPr>
      <t xml:space="preserve">800-900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万元</t>
    </r>
  </si>
  <si>
    <t xml:space="preserve">种水</t>
  </si>
  <si>
    <t xml:space="preserve">然后手镯还要看圈口，就是镯子里面那个圈的大小，要按自己的手来挑，太小了戴不进去，太大了又容易磕到。</t>
  </si>
  <si>
    <t xml:space="preserve">（用车载扩音器）（车辆颠簸，扩音器声音有些断续）</t>
  </si>
  <si>
    <t xml:space="preserve">手镯；圈口；镯子</t>
  </si>
  <si>
    <t xml:space="preserve">进隧道了，我把车里的灯打开。</t>
  </si>
  <si>
    <t xml:space="preserve">（车辆驶入隧道，噪声和回声明显变大）</t>
  </si>
  <si>
    <t xml:space="preserve">好，说到这儿呢，跟大家预告一下，等一下我们会在雾林茶舍停一停，大家下车喝喝茶，休息一下。</t>
  </si>
  <si>
    <t xml:space="preserve">（隧道内，用车载扩音器，有回声）</t>
  </si>
  <si>
    <t xml:space="preserve">雾林茶舍</t>
  </si>
  <si>
    <t xml:space="preserve">茶舍里面也有翡翠的柜台，手镯、挂件都有，刚才教大家的，正好可以去对一对。</t>
  </si>
  <si>
    <t xml:space="preserve">翡翠；手镯；挂件</t>
  </si>
  <si>
    <t xml:space="preserve">周导，问一下，在那边停多长时间啊？</t>
  </si>
  <si>
    <t xml:space="preserve">嗯，一个小时左右吧，看大家的情况。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</si>
  <si>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小时左右</t>
    </r>
  </si>
  <si>
    <t xml:space="preserve">一个小时啊……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</si>
  <si>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小时</t>
    </r>
  </si>
  <si>
    <t xml:space="preserve">去茶舍喝茶要收钱吗？</t>
  </si>
  <si>
    <t xml:space="preserve">（车辆驶出隧道，噪声减弱）（停顿约两秒）</t>
  </si>
  <si>
    <t xml:space="preserve">不收不收，茶是免费喝的。</t>
  </si>
  <si>
    <t xml:space="preserve">那我们能不能不下车？我妈有点晕车，想在车上躺一会儿。</t>
  </si>
  <si>
    <t xml:space="preserve">这个嘛……咋个说呢，到时候再看吧，一般都是大家一起下去的。</t>
  </si>
  <si>
    <t xml:space="preserve">到时候再看是什么意思？能，还是不能？</t>
  </si>
  <si>
    <t xml:space="preserve">哎呀，下去坐一坐嘛。茶舍里面有沙发，比车上宽敞，阿姨下去透透气也好。</t>
  </si>
  <si>
    <t xml:space="preserve">我不想动。</t>
  </si>
  <si>
    <t xml:space="preserve">您听到了吧，我妈就想在车上歇着。我们不买东西，也不进去。</t>
  </si>
  <si>
    <t xml:space="preserve">大家出来玩，多少下去支持一下嘛，后面的安排我也好协调，你说是不是？</t>
  </si>
  <si>
    <t xml:space="preserve">（停顿约三秒）（语气放软）</t>
  </si>
  <si>
    <t xml:space="preserve">周导，你这话我就听不太懂了。报团的时候，云栖野渡旅行社给的行程单上写的是自愿购物，进不进店是我们自己定的。</t>
  </si>
  <si>
    <t xml:space="preserve">周导；云栖野渡旅行社</t>
  </si>
  <si>
    <t xml:space="preserve">是是是，是自愿的，我也没说一定要买嘛。</t>
  </si>
  <si>
    <t xml:space="preserve">那就让我们在车上等，行不行？</t>
  </si>
  <si>
    <t xml:space="preserve">我是无所谓，到了那边我也在车上休息，空调可以一直开着。</t>
  </si>
  <si>
    <t xml:space="preserve">（在驾驶座，声音较远）</t>
  </si>
  <si>
    <t xml:space="preserve">师傅……那，那这个到了再说吧。</t>
  </si>
  <si>
    <t xml:space="preserve">（停顿约两秒）（语气有点不自然）</t>
  </si>
  <si>
    <t xml:space="preserve">不是，周导，不用到了再说，你现在给个准话就行。</t>
  </si>
  <si>
    <t xml:space="preserve">算了，别争了。</t>
  </si>
  <si>
    <t xml:space="preserve">（拉了拉游客甲）（声音很轻）</t>
  </si>
  <si>
    <t xml:space="preserve">妈，我没争，我就是问清楚。</t>
  </si>
  <si>
    <t xml:space="preserve">（压低声音，对游客乙）</t>
  </si>
  <si>
    <t xml:space="preserve">周导，要是实在不行，我就打一二三零一问一下，看看这种情况该怎么办。</t>
  </si>
  <si>
    <t xml:space="preserve">（车内安静约五秒）（提高声音）</t>
  </si>
  <si>
    <t xml:space="preserve">12301</t>
  </si>
  <si>
    <t xml:space="preserve">哎，不用不用，这么点小事。行，你们就在车上休息，没问题。</t>
  </si>
  <si>
    <t xml:space="preserve">好，谢谢。</t>
  </si>
  <si>
    <t xml:space="preserve">其他朋友也一样啊，想下去看的就下去，不想下去的就在车上休息，一个小时以后我们准时出发。</t>
  </si>
  <si>
    <t xml:space="preserve">然后到大理大概是傍晚六点，先去酒店办入住。晚饭七点，不是，我是说七点半，在酒店旁边吃团餐。</t>
  </si>
  <si>
    <r>
      <rPr>
        <sz val="10"/>
        <color rgb="FF000000"/>
        <rFont val="微软雅黑"/>
        <family val="0"/>
        <charset val="1"/>
      </rPr>
      <t xml:space="preserve">18:00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19:00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19:30</t>
    </r>
  </si>
  <si>
    <t xml:space="preserve">大理</t>
  </si>
  <si>
    <t xml:space="preserve">七点半，好。</t>
  </si>
  <si>
    <t xml:space="preserve">19:30</t>
  </si>
  <si>
    <t xml:space="preserve">周导，前面服务区要不要停一下？有没有人要上洗手间？</t>
  </si>
  <si>
    <t xml:space="preserve">要上洗手间的举个手？……好，一、二、三，三个人。师傅，那前面服务区停十分钟。</t>
  </si>
  <si>
    <t xml:space="preserve">（用车载扩音器）（问完停顿约两秒，数人数）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</si>
  <si>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</t>
    </r>
  </si>
  <si>
    <t xml:space="preserve">妈，你要不要下去走走？</t>
  </si>
  <si>
    <t xml:space="preserve">（小声，对游客乙）</t>
  </si>
  <si>
    <t xml:space="preserve">不用。</t>
  </si>
  <si>
    <t xml:space="preserve">好，服务区到了，下车的朋友注意脚下，十分钟以后回到车上，车就停在洗手间对面。</t>
  </si>
  <si>
    <t xml:space="preserve">（车内安静约十秒，只有发动机声）（车辆驶入服务区）（用车载扩音器）</t>
  </si>
  <si>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</t>
    </r>
  </si>
  <si>
    <t xml:space="preserve">各位朋友，早上好！今天是我们行程的最后一天，车子已经出了大理，往昆明方向开。</t>
  </si>
  <si>
    <t xml:space="preserve">大理；昆明</t>
  </si>
  <si>
    <t xml:space="preserve">早。</t>
  </si>
  <si>
    <t xml:space="preserve">（声音不大）</t>
  </si>
  <si>
    <t xml:space="preserve">这几天大家辛苦了，一路上也挺配合周导的，先谢谢大家。</t>
  </si>
  <si>
    <t xml:space="preserve">周导也辛苦了。</t>
  </si>
  <si>
    <t xml:space="preserve">那回去之前呢，周导再跟大家提一下。前天在雾林茶舍，好多朋友说再考虑考虑，最后没来得及买。</t>
  </si>
  <si>
    <t xml:space="preserve">周导；雾林茶舍</t>
  </si>
  <si>
    <t xml:space="preserve">我这边跟店里都说好了，在车上就可以订。茶叶是雾林茶舍的，鲜花饼、火腿这些是暮山特产超市的，下单以后下午直接送到长水机场，大家拎上就能走。</t>
  </si>
  <si>
    <t xml:space="preserve">雾林茶舍；鲜花饼；火腿；暮山特产超市；长水机场</t>
  </si>
  <si>
    <t xml:space="preserve">普洱熟茶两饼一盒，三百六十块；鲜花饼三盒一百五。买得多的，我再帮大家跟店里申请个折扣。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</si>
  <si>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饼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盒；</t>
    </r>
    <r>
      <rPr>
        <sz val="10"/>
        <color rgb="FF000000"/>
        <rFont val="微软雅黑"/>
        <family val="0"/>
        <charset val="1"/>
      </rPr>
      <t xml:space="preserve">360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盒；</t>
    </r>
    <r>
      <rPr>
        <sz val="10"/>
        <color rgb="FF000000"/>
        <rFont val="微软雅黑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</t>
    </r>
  </si>
  <si>
    <t xml:space="preserve">普洱；熟茶；鲜花饼</t>
  </si>
  <si>
    <t xml:space="preserve">周导，不用了，我们真的不买了。</t>
  </si>
  <si>
    <t xml:space="preserve">（车内安静约四秒）</t>
  </si>
  <si>
    <t xml:space="preserve">对，我也不要了，前几天买的，箱子都快装不下了。</t>
  </si>
  <si>
    <t xml:space="preserve">没关系，先看看嘛，我把单子传下去，大家先……</t>
  </si>
  <si>
    <t xml:space="preserve">不用传了，周导。这几天已经说过好几回了，我们不买。</t>
  </si>
  <si>
    <t xml:space="preserve">嗯，不买。</t>
  </si>
  <si>
    <t xml:space="preserve">减速带，大家坐好。</t>
  </si>
  <si>
    <t xml:space="preserve">（车辆驶过减速带，颠簸两下）</t>
  </si>
  <si>
    <t xml:space="preserve">好，好，那我就不多说了。大家不需要的话，这个事情我们就不提了。</t>
  </si>
  <si>
    <t xml:space="preserve">谢谢周导。</t>
  </si>
  <si>
    <t xml:space="preserve">那接下来，跟大家讲一下返程的安排。这个很重要，大家听一下。</t>
  </si>
  <si>
    <t xml:space="preserve">（停顿约两秒）（用车载扩音器）</t>
  </si>
  <si>
    <t xml:space="preserve">现在是早上八点半，中午十二点左右到楚雄吃午饭，吃饭四十分钟。</t>
  </si>
  <si>
    <r>
      <rPr>
        <sz val="10"/>
        <color rgb="FF000000"/>
        <rFont val="微软雅黑"/>
        <family val="0"/>
        <charset val="1"/>
      </rPr>
      <t xml:space="preserve">8:30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分钟</t>
    </r>
  </si>
  <si>
    <t xml:space="preserve">楚雄</t>
  </si>
  <si>
    <t xml:space="preserve">吃完饭直接走高速去长水机场，不进市区，预计下午三点半到机场。</t>
  </si>
  <si>
    <t xml:space="preserve">15:30</t>
  </si>
  <si>
    <t xml:space="preserve">长水机场</t>
  </si>
  <si>
    <t xml:space="preserve">周导，我的航班是下午五点五十的，来得及吗？</t>
  </si>
  <si>
    <t xml:space="preserve">17:50</t>
  </si>
  <si>
    <t xml:space="preserve">莫急，三点半到，五点五十飞，有两个多小时，时间是够的。一般提前一个半到两个小时到机场就行。</t>
  </si>
  <si>
    <r>
      <rPr>
        <sz val="10"/>
        <color rgb="FF000000"/>
        <rFont val="微软雅黑"/>
        <family val="0"/>
        <charset val="1"/>
      </rPr>
      <t xml:space="preserve">15:30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个多小时；</t>
    </r>
    <r>
      <rPr>
        <sz val="10"/>
        <color rgb="FF000000"/>
        <rFont val="微软雅黑"/>
        <family val="0"/>
        <charset val="1"/>
      </rPr>
      <t xml:space="preserve">1.5-2</t>
    </r>
    <r>
      <rPr>
        <sz val="10"/>
        <color rgb="FF000000"/>
        <rFont val="Noto Sans CJK SC"/>
        <family val="2"/>
      </rPr>
      <t xml:space="preserve">小时</t>
    </r>
  </si>
  <si>
    <t xml:space="preserve">哦，那好。</t>
  </si>
  <si>
    <t xml:space="preserve">我是晚上八点二十的，不对，八点五十，我再看一下……嗯，八点五十。</t>
  </si>
  <si>
    <r>
      <rPr>
        <sz val="10"/>
        <color rgb="FF000000"/>
        <rFont val="微软雅黑"/>
        <family val="0"/>
        <charset val="1"/>
      </rPr>
      <t xml:space="preserve">20:20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20:50</t>
    </r>
  </si>
  <si>
    <t xml:space="preserve">大姐，那你比我晚三个小时呢。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</si>
  <si>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小时</t>
    </r>
  </si>
  <si>
    <t xml:space="preserve">是啊，到时候在机场慢慢逛吧。</t>
  </si>
  <si>
    <t xml:space="preserve">晚一点的朋友也是一起送到机场，机场里面可以吃饭、休息，大家体谅一下。</t>
  </si>
  <si>
    <t xml:space="preserve">周导，导航说前面在修路，要绕一段，可能要晚二十来分钟。</t>
  </si>
  <si>
    <t xml:space="preserve">（车载导航提示音响起，不是台词）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</si>
  <si>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分钟左右</t>
    </r>
  </si>
  <si>
    <t xml:space="preserve">那中午吃饭压缩一下，改成半个小时。</t>
  </si>
  <si>
    <r>
      <rPr>
        <sz val="10"/>
        <color rgb="FF000000"/>
        <rFont val="微软雅黑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分钟</t>
    </r>
  </si>
  <si>
    <t xml:space="preserve">各位，刚才师傅说前面修路要绕一下，所以中午吃饭改成半个小时，大家吃快一点，不好意思啊。</t>
  </si>
  <si>
    <t xml:space="preserve">（重新用车载扩音器）</t>
  </si>
  <si>
    <t xml:space="preserve">没事。</t>
  </si>
  <si>
    <t xml:space="preserve">可以。</t>
  </si>
  <si>
    <t xml:space="preserve">然后是几个安全提醒。第一，车子开着的时候，大家不要在车里走动，安全带系好。</t>
  </si>
  <si>
    <t xml:space="preserve">（车内安静约五秒）（用车载扩音器）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</si>
  <si>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1</t>
    </r>
  </si>
  <si>
    <t xml:space="preserve">第二，充电宝不能放在托运行李里面，要随身带，这个大家记一下。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</si>
  <si>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2</t>
    </r>
  </si>
  <si>
    <t xml:space="preserve">第三，下车之前检查一下座位，身份证、手机、钱包，还有头顶上的行李架，都看一眼。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</si>
  <si>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3</t>
    </r>
  </si>
  <si>
    <t xml:space="preserve">身份证……在包里，在的。</t>
  </si>
  <si>
    <t xml:space="preserve">我也看一下。</t>
  </si>
  <si>
    <t xml:space="preserve">前面是施工路段，有点颠，大家扶好。</t>
  </si>
  <si>
    <t xml:space="preserve">最后说一下送机。到了长水机场，车子停在出发层，大家拿好行李，直接进去值机就行。</t>
  </si>
  <si>
    <t xml:space="preserve">这几天周导要是有哪里做得不好，大家多包涵。有什么意见，也可以向旅行社反映，云栖野渡旅行社都会认真处理的。</t>
  </si>
  <si>
    <t xml:space="preserve">嗯，这几天总体还行，就是购物讲得有点多。</t>
  </si>
  <si>
    <t xml:space="preserve">好，这个我记下了，下次注意。</t>
  </si>
  <si>
    <t xml:space="preserve">（笑了一下）</t>
  </si>
  <si>
    <t xml:space="preserve">好，那大家休息一下，到楚雄吃饭的时候我再叫大家。</t>
  </si>
  <si>
    <t xml:space="preserve">（车内安静约八秒）（放下扩音器，直接说）</t>
  </si>
  <si>
    <t xml:space="preserve">好的。</t>
  </si>
  <si>
    <t xml:space="preserve">要睡觉的把窗帘拉一下，太阳有点晒。</t>
  </si>
  <si>
    <t xml:space="preserve">店员</t>
  </si>
  <si>
    <t xml:space="preserve">来来来，几位往里边坐，这间是我们青黛玉石馆的贵宾室，一般散客我们都不往这边带，是你们鹿鸣七彩旅行社的马导专门打了招呼的。</t>
  </si>
  <si>
    <t xml:space="preserve">（离手机较远）（语速较快）</t>
  </si>
  <si>
    <t xml:space="preserve">青黛玉石馆；鹿鸣七彩旅行社；马导</t>
  </si>
  <si>
    <t xml:space="preserve">贵宾室？就这么小一间啊？</t>
  </si>
  <si>
    <t xml:space="preserve">（靠近手机小声说）</t>
  </si>
  <si>
    <t xml:space="preserve">嘘，先听她讲。</t>
  </si>
  <si>
    <t xml:space="preserve">那我先教大家怎么看翡翠啊，一看种，二看水，三看颜色。像这只就是冰种飘花，你看这个底子，透得跟冰一样，里面一缕一缕的绿就叫飘花，这种料子现在是越来越少了。</t>
  </si>
  <si>
    <t xml:space="preserve">冰种；飘花</t>
  </si>
  <si>
    <t xml:space="preserve">游客丙</t>
  </si>
  <si>
    <t xml:space="preserve">每家店都这么说，料子越来越少。</t>
  </si>
  <si>
    <t xml:space="preserve">可那个绿是真挺好看的。</t>
  </si>
  <si>
    <t xml:space="preserve">这位美女眼光好啊，来，过来戴上试试，不买没关系，试一下又不要钱。</t>
  </si>
  <si>
    <t xml:space="preserve">（离手机较远）</t>
  </si>
  <si>
    <t xml:space="preserve">那，那我就试一下啊。</t>
  </si>
  <si>
    <t xml:space="preserve">（起身走到展柜前，离手机较远）</t>
  </si>
  <si>
    <t xml:space="preserve">试试可以，就怕她试完舍不得摘了。</t>
  </si>
  <si>
    <t xml:space="preserve">（靠近手机小声说，对游客丙）</t>
  </si>
  <si>
    <t xml:space="preserve">放心，我帮你看着。</t>
  </si>
  <si>
    <t xml:space="preserve">你看你看，一戴上手就显白，内径五十六毫米，刚刚好。这只标价十八万八千八，标签在这儿，你们自己看。</t>
  </si>
  <si>
    <r>
      <rPr>
        <sz val="10"/>
        <color rgb="FF000000"/>
        <rFont val="微软雅黑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毫米；</t>
    </r>
    <r>
      <rPr>
        <sz val="10"/>
        <color rgb="FF000000"/>
        <rFont val="微软雅黑"/>
        <family val="0"/>
        <charset val="1"/>
      </rPr>
      <t xml:space="preserve">188800</t>
    </r>
    <r>
      <rPr>
        <sz val="10"/>
        <color rgb="FF000000"/>
        <rFont val="Noto Sans CJK SC"/>
        <family val="2"/>
      </rPr>
      <t xml:space="preserve">元</t>
    </r>
  </si>
  <si>
    <t xml:space="preserve">十八万？</t>
  </si>
  <si>
    <t xml:space="preserve">（靠近手机小声说）（语速快）</t>
  </si>
  <si>
    <r>
      <rPr>
        <sz val="10"/>
        <color rgb="FF000000"/>
        <rFont val="微软雅黑"/>
        <family val="0"/>
        <charset val="1"/>
      </rPr>
      <t xml:space="preserve">180000</t>
    </r>
    <r>
      <rPr>
        <sz val="10"/>
        <color rgb="FF000000"/>
        <rFont val="Noto Sans CJK SC"/>
        <family val="2"/>
      </rPr>
      <t xml:space="preserve">元</t>
    </r>
  </si>
  <si>
    <t xml:space="preserve">开什么玩笑，买辆车都够了。</t>
  </si>
  <si>
    <t xml:space="preserve">（靠近手机，脱口而出，声音稍大）（与上一句部分重叠）</t>
  </si>
  <si>
    <t xml:space="preserve">大哥莫急，标价是标价嘛。今天馆里做活动，冰种飘花的一律打三折，五万六千六百四，抹个零头，五万六，再送证书、送礼盒，你说划不划算？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</si>
  <si>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56640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56000</t>
    </r>
    <r>
      <rPr>
        <sz val="10"/>
        <color rgb="FF000000"/>
        <rFont val="Noto Sans CJK SC"/>
        <family val="2"/>
      </rPr>
      <t xml:space="preserve">元</t>
    </r>
  </si>
  <si>
    <t xml:space="preserve">一下就打三折啊？</t>
  </si>
  <si>
    <t xml:space="preserve">（在展柜前，离手机较远）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</si>
  <si>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折</t>
    </r>
  </si>
  <si>
    <t xml:space="preserve">能打三折，说明本来就不值那么多。</t>
  </si>
  <si>
    <t xml:space="preserve">就是，水分太大了，是真是假都不好说。</t>
  </si>
  <si>
    <t xml:space="preserve">证书也是她们自己给的，谁知道哪儿开的。</t>
  </si>
  <si>
    <t xml:space="preserve">那边两位商量什么呢？有问题大声问嘛，我们这里每一只都是天然的，证书拿去哪儿验都行，验出来不对，全额退款。</t>
  </si>
  <si>
    <t xml:space="preserve">（离手机较远）（提高音量）</t>
  </si>
  <si>
    <t xml:space="preserve">没什么没什么，就是觉得有点贵。</t>
  </si>
  <si>
    <t xml:space="preserve">（朝店员方向，稍微提高音量）</t>
  </si>
  <si>
    <t xml:space="preserve">贵是贵在料子上嘛。这样，我看美女是真喜欢，我做个主，再让一点，三万九千八，出了这个门，你在丽江都找不到这个价。</t>
  </si>
  <si>
    <r>
      <rPr>
        <sz val="10"/>
        <color rgb="FF000000"/>
        <rFont val="微软雅黑"/>
        <family val="0"/>
        <charset val="1"/>
      </rPr>
      <t xml:space="preserve">39800</t>
    </r>
    <r>
      <rPr>
        <sz val="10"/>
        <color rgb="FF000000"/>
        <rFont val="Noto Sans CJK SC"/>
        <family val="2"/>
      </rPr>
      <t xml:space="preserve">元</t>
    </r>
  </si>
  <si>
    <t xml:space="preserve">丽江</t>
  </si>
  <si>
    <t xml:space="preserve">三万九千八，还是太多了吧。</t>
  </si>
  <si>
    <t xml:space="preserve">（摘下手镯走回沙发坐下，靠近手机小声说）</t>
  </si>
  <si>
    <t xml:space="preserve">你别看我啊，我卡里可没那么多。</t>
  </si>
  <si>
    <t xml:space="preserve">我跟你们讲，我上回在别的地方，也说是冰种的，最后三千块就拿下了。</t>
  </si>
  <si>
    <t xml:space="preserve">（靠近手机，声音没压住）</t>
  </si>
  <si>
    <r>
      <rPr>
        <sz val="10"/>
        <color rgb="FF000000"/>
        <rFont val="微软雅黑"/>
        <family val="0"/>
        <charset val="1"/>
      </rPr>
      <t xml:space="preserve">3000</t>
    </r>
    <r>
      <rPr>
        <sz val="10"/>
        <color rgb="FF000000"/>
        <rFont val="Noto Sans CJK SC"/>
        <family val="2"/>
      </rPr>
      <t xml:space="preserve">元</t>
    </r>
  </si>
  <si>
    <t xml:space="preserve">冰种</t>
  </si>
  <si>
    <t xml:space="preserve">真的假的？差这么多？</t>
  </si>
  <si>
    <t xml:space="preserve">所以说啊，这镯子顶多值个三五千，不是，我是说，咱们看不懂的东西，就别花大钱。</t>
  </si>
  <si>
    <r>
      <rPr>
        <sz val="10"/>
        <color rgb="FF000000"/>
        <rFont val="微软雅黑"/>
        <family val="0"/>
        <charset val="1"/>
      </rPr>
      <t xml:space="preserve">3000-5000</t>
    </r>
    <r>
      <rPr>
        <sz val="10"/>
        <color rgb="FF000000"/>
        <rFont val="Noto Sans CJK SC"/>
        <family val="2"/>
      </rPr>
      <t xml:space="preserve">元</t>
    </r>
  </si>
  <si>
    <t xml:space="preserve">大姐，您是行家，我也不绕弯子了，最后一口价，两万八千八，图个好彩头，我这个月提成都不要了。</t>
  </si>
  <si>
    <r>
      <rPr>
        <sz val="10"/>
        <color rgb="FF000000"/>
        <rFont val="微软雅黑"/>
        <family val="0"/>
        <charset val="1"/>
      </rPr>
      <t xml:space="preserve">28800</t>
    </r>
    <r>
      <rPr>
        <sz val="10"/>
        <color rgb="FF000000"/>
        <rFont val="Noto Sans CJK SC"/>
        <family val="2"/>
      </rPr>
      <t xml:space="preserve">元</t>
    </r>
  </si>
  <si>
    <t xml:space="preserve">又降了一万多，你看看。</t>
  </si>
  <si>
    <r>
      <rPr>
        <sz val="10"/>
        <color rgb="FF000000"/>
        <rFont val="微软雅黑"/>
        <family val="0"/>
        <charset val="1"/>
      </rPr>
      <t xml:space="preserve">10000</t>
    </r>
    <r>
      <rPr>
        <sz val="10"/>
        <color rgb="FF000000"/>
        <rFont val="Noto Sans CJK SC"/>
        <family val="2"/>
      </rPr>
      <t xml:space="preserve">多元</t>
    </r>
  </si>
  <si>
    <t xml:space="preserve">降得越多，我越不敢买了。</t>
  </si>
  <si>
    <t xml:space="preserve">就是，十八万降到两万八，底价到底多少，谁也不知道。</t>
  </si>
  <si>
    <r>
      <rPr>
        <sz val="10"/>
        <color rgb="FF000000"/>
        <rFont val="微软雅黑"/>
        <family val="0"/>
        <charset val="1"/>
      </rPr>
      <t xml:space="preserve">180000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28000</t>
    </r>
    <r>
      <rPr>
        <sz val="10"/>
        <color rgb="FF000000"/>
        <rFont val="Noto Sans CJK SC"/>
        <family val="2"/>
      </rPr>
      <t xml:space="preserve">元</t>
    </r>
  </si>
  <si>
    <t xml:space="preserve">几位考虑得怎么样啦？要不要我先帮你们包起来？</t>
  </si>
  <si>
    <t xml:space="preserve">那个，我们还是再商量商量，今天先不要了，谢谢您啊。</t>
  </si>
  <si>
    <t xml:space="preserve">哎，别急着走嘛，再坐会儿，喝口水，听我把这批糯种的也讲完再说。糯种的便宜，六千多的、八千多的都有，自己戴、送妈妈都合适。</t>
  </si>
  <si>
    <t xml:space="preserve">（离手机较远）（背对手机，在展柜里翻找）（语速较快）</t>
  </si>
  <si>
    <r>
      <rPr>
        <sz val="10"/>
        <color rgb="FF000000"/>
        <rFont val="微软雅黑"/>
        <family val="0"/>
        <charset val="1"/>
      </rPr>
      <t xml:space="preserve">6000</t>
    </r>
    <r>
      <rPr>
        <sz val="10"/>
        <color rgb="FF000000"/>
        <rFont val="Noto Sans CJK SC"/>
        <family val="2"/>
      </rPr>
      <t xml:space="preserve">多元；</t>
    </r>
    <r>
      <rPr>
        <sz val="10"/>
        <color rgb="FF000000"/>
        <rFont val="微软雅黑"/>
        <family val="0"/>
        <charset val="1"/>
      </rPr>
      <t xml:space="preserve">8000</t>
    </r>
    <r>
      <rPr>
        <sz val="10"/>
        <color rgb="FF000000"/>
        <rFont val="Noto Sans CJK SC"/>
        <family val="2"/>
      </rPr>
      <t xml:space="preserve">多元</t>
    </r>
  </si>
  <si>
    <t xml:space="preserve">糯种</t>
  </si>
  <si>
    <t xml:space="preserve">还有糯种的，这是要讲到中午啊。</t>
  </si>
  <si>
    <t xml:space="preserve">马导说十一点二十门口集合，现在都十一点十分了。</t>
  </si>
  <si>
    <r>
      <rPr>
        <sz val="10"/>
        <color rgb="FF000000"/>
        <rFont val="微软雅黑"/>
        <family val="0"/>
        <charset val="1"/>
      </rPr>
      <t xml:space="preserve">11:20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11:10</t>
    </r>
  </si>
  <si>
    <t xml:space="preserve">马导</t>
  </si>
  <si>
    <t xml:space="preserve">那正好，就说要集合了。</t>
  </si>
  <si>
    <t xml:space="preserve">不好意思啊，我们导游定了时间，十一点二十集合，我们就先出去了。</t>
  </si>
  <si>
    <t xml:space="preserve">（站起来，朝店员方向）</t>
  </si>
  <si>
    <t xml:space="preserve">11:20</t>
  </si>
  <si>
    <t xml:space="preserve">哎呀，还有十分钟呢，不着急。今天是活动价，错过了今天，下次来就是原价了，你们再想想嘛。</t>
  </si>
  <si>
    <t xml:space="preserve">她这活动，怕是天天都有。</t>
  </si>
  <si>
    <t xml:space="preserve">真的谢谢您讲了这么多，镯子是漂亮，就是超预算了，我们回去再考虑考虑。</t>
  </si>
  <si>
    <t xml:space="preserve">（朝店员方向，语气客气）</t>
  </si>
  <si>
    <t xml:space="preserve">那行，我也不勉强。这是我们的名片，回去想好了随时找我。</t>
  </si>
  <si>
    <t xml:space="preserve">好嘞，谢谢谢谢，您忙。</t>
  </si>
  <si>
    <t xml:space="preserve">（边走边说）</t>
  </si>
  <si>
    <t xml:space="preserve">出门往右手边下楼啊，楼梯有点窄，慢一点。</t>
  </si>
  <si>
    <t xml:space="preserve">好险好险，刚才差点就想刷卡了。</t>
  </si>
  <si>
    <t xml:space="preserve">（边走边说，靠近手机小声说）</t>
  </si>
  <si>
    <t xml:space="preserve">还好没刷，五万六讲到两万八，再坐一会儿，说不定一万都肯卖。</t>
  </si>
  <si>
    <r>
      <rPr>
        <sz val="10"/>
        <color rgb="FF000000"/>
        <rFont val="微软雅黑"/>
        <family val="0"/>
        <charset val="1"/>
      </rPr>
      <t xml:space="preserve">56000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10000</t>
    </r>
    <r>
      <rPr>
        <sz val="10"/>
        <color rgb="FF000000"/>
        <rFont val="Noto Sans CJK SC"/>
        <family val="2"/>
      </rPr>
      <t xml:space="preserve">元</t>
    </r>
  </si>
  <si>
    <t xml:space="preserve">走吧走吧，快去门口，别让马导等咱们。</t>
  </si>
  <si>
    <t xml:space="preserve">来，两位大哥坐，欢迎来到竹溪茶仓。我先给你们泡个熟普润润口啊，你们看这个汤色，红红亮亮的，喝起来特别顺，一点都不苦。</t>
  </si>
  <si>
    <t xml:space="preserve">（离手机较远）（边倒水边说）（语速较快）</t>
  </si>
  <si>
    <t xml:space="preserve">竹溪茶仓；熟普</t>
  </si>
  <si>
    <t xml:space="preserve">嗯，这熟普还挺顺口的。</t>
  </si>
  <si>
    <t xml:space="preserve">熟普</t>
  </si>
  <si>
    <t xml:space="preserve">你可别夸，一夸她就要开始卖了。</t>
  </si>
  <si>
    <t xml:space="preserve">大哥是懂茶的，一口就喝出来了。不过熟普只是给大家润润口，我们竹溪茶仓真正的好东西，是后面架子上的古树茶，我拿给你们看啊。</t>
  </si>
  <si>
    <t xml:space="preserve">熟普；竹溪茶仓；古树茶</t>
  </si>
  <si>
    <t xml:space="preserve">来了来了，正题来了。</t>
  </si>
  <si>
    <t xml:space="preserve">就是这饼，二零一六年压的古树茶，生普，一饼三百五十七克，你们看这个叶子，又肥又长，一片一片都是完整的。</t>
  </si>
  <si>
    <t xml:space="preserve">（背对手机）（从身后货架上取茶饼）</t>
  </si>
  <si>
    <r>
      <rPr>
        <sz val="10"/>
        <color rgb="FF000000"/>
        <rFont val="微软雅黑"/>
        <family val="0"/>
        <charset val="1"/>
      </rPr>
      <t xml:space="preserve">2016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微软雅黑"/>
        <family val="0"/>
        <charset val="1"/>
      </rPr>
      <t xml:space="preserve">357</t>
    </r>
    <r>
      <rPr>
        <sz val="10"/>
        <color rgb="FF000000"/>
        <rFont val="Noto Sans CJK SC"/>
        <family val="2"/>
      </rPr>
      <t xml:space="preserve">克</t>
    </r>
  </si>
  <si>
    <t xml:space="preserve">古树茶；生普</t>
  </si>
  <si>
    <t xml:space="preserve">二零一六年的，那也放了好些年了。</t>
  </si>
  <si>
    <r>
      <rPr>
        <sz val="10"/>
        <color rgb="FF000000"/>
        <rFont val="微软雅黑"/>
        <family val="0"/>
        <charset val="1"/>
      </rPr>
      <t xml:space="preserve">2016</t>
    </r>
    <r>
      <rPr>
        <sz val="10"/>
        <color rgb="FF000000"/>
        <rFont val="Noto Sans CJK SC"/>
        <family val="2"/>
      </rPr>
      <t xml:space="preserve">年</t>
    </r>
  </si>
  <si>
    <t xml:space="preserve">年份还不是她说多少就多少。</t>
  </si>
  <si>
    <t xml:space="preserve">生普跟熟普不一样，生普是越放越香。这饼外面标价六千八百八，今天你们是团队来的，按会员价，三千八百八一饼，买两饼送一个茶罐。</t>
  </si>
  <si>
    <r>
      <rPr>
        <sz val="10"/>
        <color rgb="FF000000"/>
        <rFont val="微软雅黑"/>
        <family val="0"/>
        <charset val="1"/>
      </rPr>
      <t xml:space="preserve">6880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3880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饼</t>
    </r>
  </si>
  <si>
    <t xml:space="preserve">生普；熟普</t>
  </si>
  <si>
    <t xml:space="preserve">三千八百八一饼？</t>
  </si>
  <si>
    <t xml:space="preserve">（靠近手机小声说）（与上一句部分重叠）</t>
  </si>
  <si>
    <r>
      <rPr>
        <sz val="10"/>
        <color rgb="FF000000"/>
        <rFont val="微软雅黑"/>
        <family val="0"/>
        <charset val="1"/>
      </rPr>
      <t xml:space="preserve">3880</t>
    </r>
    <r>
      <rPr>
        <sz val="10"/>
        <color rgb="FF000000"/>
        <rFont val="Noto Sans CJK SC"/>
        <family val="2"/>
      </rPr>
      <t xml:space="preserve">元</t>
    </r>
  </si>
  <si>
    <t xml:space="preserve">我在家喝的，一饼才一百五十块。</t>
  </si>
  <si>
    <r>
      <rPr>
        <sz val="10"/>
        <color rgb="FF000000"/>
        <rFont val="微软雅黑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</t>
    </r>
  </si>
  <si>
    <t xml:space="preserve">大哥，一百五十的那是平时喝的普通茶，古树茶是老茶树上采的，产量少，喝起来更厚实。</t>
  </si>
  <si>
    <t xml:space="preserve">古树茶</t>
  </si>
  <si>
    <t xml:space="preserve">两位大哥，难得来一趟大理，咱们鹿鸣七彩旅行社的客人来这儿，都说这儿的古树茶好。</t>
  </si>
  <si>
    <t xml:space="preserve">（站在门口，离手机较远）（提高音量）</t>
  </si>
  <si>
    <t xml:space="preserve">大理；鹿鸣七彩旅行社；古树茶</t>
  </si>
  <si>
    <t xml:space="preserve">马导怎么也在门口站着。</t>
  </si>
  <si>
    <t xml:space="preserve">帮腔呗，还能干啥。</t>
  </si>
  <si>
    <t xml:space="preserve">来，这泡就是这饼古树茶，你们趁热尝尝，入口有一点点苦，马上就回甘，喝完嘴里都是甜的。大哥，咋个样？</t>
  </si>
  <si>
    <t xml:space="preserve">（离手机较远）（边倒茶边说）</t>
  </si>
  <si>
    <t xml:space="preserve">嗯……是有点回甘。</t>
  </si>
  <si>
    <t xml:space="preserve">（靠近手机，含糊地应一声）</t>
  </si>
  <si>
    <t xml:space="preserve">有回甘也不值三千八啊。</t>
  </si>
  <si>
    <r>
      <rPr>
        <sz val="10"/>
        <color rgb="FF000000"/>
        <rFont val="微软雅黑"/>
        <family val="0"/>
        <charset val="1"/>
      </rPr>
      <t xml:space="preserve">3800</t>
    </r>
    <r>
      <rPr>
        <sz val="10"/>
        <color rgb="FF000000"/>
        <rFont val="Noto Sans CJK SC"/>
        <family val="2"/>
      </rPr>
      <t xml:space="preserve">元</t>
    </r>
  </si>
  <si>
    <t xml:space="preserve">要是觉得一饼一饼买不划算，还可以拿一提，一提七饼，打包价两万两千八，回去送朋友、送亲戚都拿得出手。</t>
  </si>
  <si>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饼；</t>
    </r>
    <r>
      <rPr>
        <sz val="10"/>
        <color rgb="FF000000"/>
        <rFont val="微软雅黑"/>
        <family val="0"/>
        <charset val="1"/>
      </rPr>
      <t xml:space="preserve">22800</t>
    </r>
    <r>
      <rPr>
        <sz val="10"/>
        <color rgb="FF000000"/>
        <rFont val="Noto Sans CJK SC"/>
        <family val="2"/>
      </rPr>
      <t xml:space="preserve">元</t>
    </r>
  </si>
  <si>
    <t xml:space="preserve">两万两千八？越说越贵了。</t>
  </si>
  <si>
    <r>
      <rPr>
        <sz val="10"/>
        <color rgb="FF000000"/>
        <rFont val="微软雅黑"/>
        <family val="0"/>
        <charset val="1"/>
      </rPr>
      <t xml:space="preserve">22800</t>
    </r>
    <r>
      <rPr>
        <sz val="10"/>
        <color rgb="FF000000"/>
        <rFont val="Noto Sans CJK SC"/>
        <family val="2"/>
      </rPr>
      <t xml:space="preserve">元</t>
    </r>
  </si>
  <si>
    <t xml:space="preserve">咱们都坐了二十五分钟了。</t>
  </si>
  <si>
    <t xml:space="preserve">（看了看手表，靠近手机小声说）</t>
  </si>
  <si>
    <r>
      <rPr>
        <sz val="10"/>
        <color rgb="FF000000"/>
        <rFont val="微软雅黑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分钟</t>
    </r>
  </si>
  <si>
    <t xml:space="preserve">大哥，买茶跟买菜不一样，好茶贵一点也正常。咱们这一趟出来，大家多少支持一下，后面的安排我也好协调嘛。</t>
  </si>
  <si>
    <t xml:space="preserve">（站在门口，离手机较远）</t>
  </si>
  <si>
    <t xml:space="preserve">听见没，买不买还跟后面的安排挂上了。</t>
  </si>
  <si>
    <t xml:space="preserve">算了算了，就是说，咱买点便宜的，给个面子就行。</t>
  </si>
  <si>
    <t xml:space="preserve">行，那你去问，小包的就行。</t>
  </si>
  <si>
    <t xml:space="preserve">那个，老板，有没有便宜一点的？就是，就是小包的，带回去自己喝。</t>
  </si>
  <si>
    <t xml:space="preserve">有是有，散装的熟普，一小包二百五十克，原价九十八，今天六十八。不过大哥，送人、收藏还得是这饼古树茶，拿出去有面子。</t>
  </si>
  <si>
    <r>
      <rPr>
        <sz val="10"/>
        <color rgb="FF000000"/>
        <rFont val="微软雅黑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克；</t>
    </r>
    <r>
      <rPr>
        <sz val="10"/>
        <color rgb="FF000000"/>
        <rFont val="微软雅黑"/>
        <family val="0"/>
        <charset val="1"/>
      </rPr>
      <t xml:space="preserve">98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元</t>
    </r>
  </si>
  <si>
    <t xml:space="preserve">熟普；古树茶</t>
  </si>
  <si>
    <t xml:space="preserve">六十八，这个可以。</t>
  </si>
  <si>
    <r>
      <rPr>
        <sz val="10"/>
        <color rgb="FF000000"/>
        <rFont val="微软雅黑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元</t>
    </r>
  </si>
  <si>
    <t xml:space="preserve">那就要一小包散茶吧，我们买完就先出去了。</t>
  </si>
  <si>
    <t xml:space="preserve">（朝店员方向）</t>
  </si>
  <si>
    <t xml:space="preserve">大哥，再坐会儿嘛，散茶什么时候都能买，这饼古树茶的会员价可就今天有。你再喝一泡，听我讲完再说，不买也没关系。</t>
  </si>
  <si>
    <t xml:space="preserve">又来了，再喝一泡，又得听二十分钟。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</si>
  <si>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分钟</t>
    </r>
  </si>
  <si>
    <t xml:space="preserve">不用了不用了，茶饼太贵，我们就要这一小包，真的，家里茶叶也多，喝不完。</t>
  </si>
  <si>
    <t xml:space="preserve">大哥，你看都喝了三泡了，就拿一饼嘛，回去慢慢喝，放着也是越放越香。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</si>
  <si>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泡</t>
    </r>
  </si>
  <si>
    <t xml:space="preserve">马导，真不用了，我们俩退休工资就那么点，买这一小包是个心意。</t>
  </si>
  <si>
    <t xml:space="preserve">（稍微提高音量，朝门口方向）</t>
  </si>
  <si>
    <t xml:space="preserve">要得要得，心意到了就行，那就不勉强了。</t>
  </si>
  <si>
    <t xml:space="preserve">好嘞，一小包熟普散茶，六十八块，二维码在茶台边上，扫一下就行。</t>
  </si>
  <si>
    <t xml:space="preserve">（背对手机）（在柜台边打包）</t>
  </si>
  <si>
    <t xml:space="preserve">扫好了，六十八。</t>
  </si>
  <si>
    <t xml:space="preserve">（在茶台边扫码，离手机很近，朝店员说）</t>
  </si>
  <si>
    <t xml:space="preserve">收到了，谢谢大哥，这是我们的名片，回去喝着好再来找我们。</t>
  </si>
  <si>
    <t xml:space="preserve">早知道六十八就能出门，一进来就买了。</t>
  </si>
  <si>
    <t xml:space="preserve">好，大家拿好东西，十点五十门口上车，下一站去吃午饭。</t>
  </si>
  <si>
    <t xml:space="preserve">10:50</t>
  </si>
  <si>
    <t xml:space="preserve">总算能出去了，走吧。</t>
  </si>
  <si>
    <t xml:space="preserve">（拿起桌角的手机，边走边说）</t>
  </si>
  <si>
    <t xml:space="preserve">六十八块钱喝了三泡茶，不亏。</t>
  </si>
  <si>
    <r>
      <rPr>
        <sz val="10"/>
        <color rgb="FF000000"/>
        <rFont val="微软雅黑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泡</t>
    </r>
  </si>
  <si>
    <t xml:space="preserve">各位往前站一点啊，欢迎来到晓月银坊的手工坊。我们这里全是足银九九九，师傅当场打、当场卖，你们听到的叮叮当当，就是师傅在壶身上敲花纹。</t>
  </si>
  <si>
    <t xml:space="preserve">（离手机较远）（语速较快）（背景有敲银器的声音）</t>
  </si>
  <si>
    <t xml:space="preserve">999</t>
  </si>
  <si>
    <t xml:space="preserve">晓月银坊；足银；九九九</t>
  </si>
  <si>
    <t xml:space="preserve">这屋子这么小，人还这么多。</t>
  </si>
  <si>
    <t xml:space="preserve">嗯，是挤，咱们往边上站站。</t>
  </si>
  <si>
    <t xml:space="preserve">来看这把银壶，从一块银板开始敲，敲出这个圆肚子，再敲上花纹，前后要一个多月。这把四百八十克，壶嘴、壶把全是手工焊的，摆在茶桌上很有档次。</t>
  </si>
  <si>
    <t xml:space="preserve">（离手机较远）（拿小锤在银壶上轻敲演示）（语速较快）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</si>
  <si>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个多月；</t>
    </r>
    <r>
      <rPr>
        <sz val="10"/>
        <color rgb="FF000000"/>
        <rFont val="微软雅黑"/>
        <family val="0"/>
        <charset val="1"/>
      </rPr>
      <t xml:space="preserve">480</t>
    </r>
    <r>
      <rPr>
        <sz val="10"/>
        <color rgb="FF000000"/>
        <rFont val="Noto Sans CJK SC"/>
        <family val="2"/>
      </rPr>
      <t xml:space="preserve">克</t>
    </r>
  </si>
  <si>
    <t xml:space="preserve">四百八十克，那得多少钱啊。</t>
  </si>
  <si>
    <r>
      <rPr>
        <sz val="10"/>
        <color rgb="FF000000"/>
        <rFont val="微软雅黑"/>
        <family val="0"/>
        <charset val="1"/>
      </rPr>
      <t xml:space="preserve">480</t>
    </r>
    <r>
      <rPr>
        <sz val="10"/>
        <color rgb="FF000000"/>
        <rFont val="Noto Sans CJK SC"/>
        <family val="2"/>
      </rPr>
      <t xml:space="preserve">克</t>
    </r>
  </si>
  <si>
    <t xml:space="preserve">经理</t>
  </si>
  <si>
    <t xml:space="preserve">各位各位，跟大家说个好消息，今天是我们晓月银坊在昆明开店十二周年，银壶工费全免，银饰一律七折，只有今天上午，十一点以后恢复原价。</t>
  </si>
  <si>
    <t xml:space="preserve">（边走边说）（从房间另一头走过来）</t>
  </si>
  <si>
    <r>
      <rPr>
        <sz val="10"/>
        <color rgb="FF000000"/>
        <rFont val="微软雅黑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周年；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11:00</t>
    </r>
  </si>
  <si>
    <t xml:space="preserve">晓月银坊；昆明</t>
  </si>
  <si>
    <t xml:space="preserve">又是只有今天。</t>
  </si>
  <si>
    <t xml:space="preserve">哪个店没有个只有今天。</t>
  </si>
  <si>
    <t xml:space="preserve">银子是按克算的，平时这把壶连工费一克三十八，今天特价，工费全免，一克二十六，四百八十克算下来一万两千四百八，再送一套银杯和礼盒。</t>
  </si>
  <si>
    <r>
      <rPr>
        <sz val="10"/>
        <color rgb="FF000000"/>
        <rFont val="微软雅黑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克；</t>
    </r>
    <r>
      <rPr>
        <sz val="10"/>
        <color rgb="FF000000"/>
        <rFont val="微软雅黑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克；</t>
    </r>
    <r>
      <rPr>
        <sz val="10"/>
        <color rgb="FF000000"/>
        <rFont val="微软雅黑"/>
        <family val="0"/>
        <charset val="1"/>
      </rPr>
      <t xml:space="preserve">480</t>
    </r>
    <r>
      <rPr>
        <sz val="10"/>
        <color rgb="FF000000"/>
        <rFont val="Noto Sans CJK SC"/>
        <family val="2"/>
      </rPr>
      <t xml:space="preserve">克；</t>
    </r>
    <r>
      <rPr>
        <sz val="10"/>
        <color rgb="FF000000"/>
        <rFont val="微软雅黑"/>
        <family val="0"/>
        <charset val="1"/>
      </rPr>
      <t xml:space="preserve">12480</t>
    </r>
    <r>
      <rPr>
        <sz val="10"/>
        <color rgb="FF000000"/>
        <rFont val="Noto Sans CJK SC"/>
        <family val="2"/>
      </rPr>
      <t xml:space="preserve">元</t>
    </r>
  </si>
  <si>
    <t xml:space="preserve">一万二买个烧水壶？</t>
  </si>
  <si>
    <r>
      <rPr>
        <sz val="10"/>
        <color rgb="FF000000"/>
        <rFont val="微软雅黑"/>
        <family val="0"/>
        <charset val="1"/>
      </rPr>
      <t xml:space="preserve">12000</t>
    </r>
    <r>
      <rPr>
        <sz val="10"/>
        <color rgb="FF000000"/>
        <rFont val="Noto Sans CJK SC"/>
        <family val="2"/>
      </rPr>
      <t xml:space="preserve">元</t>
    </r>
  </si>
  <si>
    <t xml:space="preserve">家里电水壶才一百多块。</t>
  </si>
  <si>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多元</t>
    </r>
  </si>
  <si>
    <t xml:space="preserve">阿姨，壶要是用不上，可以看看银饰嘛，手镯、耳环，自己戴、送人都好看。</t>
  </si>
  <si>
    <t xml:space="preserve">（边走边说）（从手机旁经过）</t>
  </si>
  <si>
    <t xml:space="preserve">来，这个手镯三十八克，也是足银九九九，上面的花是师傅一锤一锤敲出来的。平时一千四百八，打七折是一千零三十六，今天我再做个主，九百九十八。</t>
  </si>
  <si>
    <t xml:space="preserve">（背对手机）（转身从展柜里拿出银镯）（语速较快）</t>
  </si>
  <si>
    <r>
      <rPr>
        <sz val="10"/>
        <color rgb="FF000000"/>
        <rFont val="微软雅黑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克；</t>
    </r>
    <r>
      <rPr>
        <sz val="10"/>
        <color rgb="FF000000"/>
        <rFont val="微软雅黑"/>
        <family val="0"/>
        <charset val="1"/>
      </rPr>
      <t xml:space="preserve">999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1480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1036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998</t>
    </r>
    <r>
      <rPr>
        <sz val="10"/>
        <color rgb="FF000000"/>
        <rFont val="Noto Sans CJK SC"/>
        <family val="2"/>
      </rPr>
      <t xml:space="preserve">元</t>
    </r>
  </si>
  <si>
    <t xml:space="preserve">足银；九九九</t>
  </si>
  <si>
    <t xml:space="preserve">足银九九九，谁知道是不是真的九九九。</t>
  </si>
  <si>
    <r>
      <rPr>
        <sz val="10"/>
        <color rgb="FF000000"/>
        <rFont val="微软雅黑"/>
        <family val="0"/>
        <charset val="1"/>
      </rPr>
      <t xml:space="preserve">999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999</t>
    </r>
  </si>
  <si>
    <t xml:space="preserve">里面打了印的，应该不假，就是价格说不好。</t>
  </si>
  <si>
    <t xml:space="preserve">银饰也是按克算的，你看这对耳环，才六克多，今天特价一对一百六十八，买手镯再送一对，相当于白拿。</t>
  </si>
  <si>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克多；</t>
    </r>
    <r>
      <rPr>
        <sz val="10"/>
        <color rgb="FF000000"/>
        <rFont val="微软雅黑"/>
        <family val="0"/>
        <charset val="1"/>
      </rPr>
      <t xml:space="preserve">168</t>
    </r>
    <r>
      <rPr>
        <sz val="10"/>
        <color rgb="FF000000"/>
        <rFont val="Noto Sans CJK SC"/>
        <family val="2"/>
      </rPr>
      <t xml:space="preserve">元</t>
    </r>
  </si>
  <si>
    <t xml:space="preserve">九百九十八还送耳环，那个镯子倒还行。</t>
  </si>
  <si>
    <r>
      <rPr>
        <sz val="10"/>
        <color rgb="FF000000"/>
        <rFont val="微软雅黑"/>
        <family val="0"/>
        <charset val="1"/>
      </rPr>
      <t xml:space="preserve">998</t>
    </r>
    <r>
      <rPr>
        <sz val="10"/>
        <color rgb="FF000000"/>
        <rFont val="Noto Sans CJK SC"/>
        <family val="2"/>
      </rPr>
      <t xml:space="preserve">元</t>
    </r>
  </si>
  <si>
    <t xml:space="preserve">我不看了，我现在就觉得闷得慌。</t>
  </si>
  <si>
    <t xml:space="preserve">阿姨，咋个了？是不是有点闷？</t>
  </si>
  <si>
    <t xml:space="preserve">（边走边说）（离手机较远）</t>
  </si>
  <si>
    <t xml:space="preserve">嗯，人太多了，我想先出去透口气。</t>
  </si>
  <si>
    <t xml:space="preserve">（朝经理方向，稍微提高音量）</t>
  </si>
  <si>
    <t xml:space="preserve">阿姨别急着走嘛，再坐会儿，最后一个银碗，五分钟就讲完，听完再说。今天这个特价真的难得，过了十一点我就做不了主了。</t>
  </si>
  <si>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11:00</t>
    </r>
  </si>
  <si>
    <t xml:space="preserve">不好意思啊，我妈觉得里面有点闷，我们想先出去一下。</t>
  </si>
  <si>
    <t xml:space="preserve">那我把后面窗户打开，再给阿姨倒杯水，阿姨您坐着听，不急不急。</t>
  </si>
  <si>
    <t xml:space="preserve">不用不用，谢谢啊，我就是想出去走走。</t>
  </si>
  <si>
    <t xml:space="preserve">（朝经理方向）</t>
  </si>
  <si>
    <t xml:space="preserve">妈，那镯子你真不看了？</t>
  </si>
  <si>
    <t xml:space="preserve">不看了，要买你自己买，我先出去。</t>
  </si>
  <si>
    <t xml:space="preserve">那我也不买了，我陪你出去。</t>
  </si>
  <si>
    <t xml:space="preserve">美女，要不这样，阿姨先出去坐会儿，你留下来听完，镯子我再给你让一点，九百块，凑个整，好不好？</t>
  </si>
  <si>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</t>
    </r>
  </si>
  <si>
    <t xml:space="preserve">谢谢啊，真不用了，我得陪着我妈。这样吧，我们先出去透透气，想买的话，等会儿再进来，行吧？</t>
  </si>
  <si>
    <t xml:space="preserve">行行行，也可以。那九百的价我给你们留着，十一点前回来都算数，好吧？</t>
  </si>
  <si>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11:00</t>
    </r>
  </si>
  <si>
    <t xml:space="preserve">好的好的，谢谢您。</t>
  </si>
  <si>
    <t xml:space="preserve">出门左手边有个小院子，有凳子可以坐，阿姨慢点走啊。</t>
  </si>
  <si>
    <t xml:space="preserve">好，谢谢啊。</t>
  </si>
  <si>
    <t xml:space="preserve">外面舒服多了，里面闷得我也待不住了。</t>
  </si>
  <si>
    <t xml:space="preserve">（边走边说）（走到院子里，正常音量）</t>
  </si>
  <si>
    <t xml:space="preserve">你看，跟人家好好说一声，不就出来了。</t>
  </si>
  <si>
    <t xml:space="preserve">（边走边说）（在游客乙身旁，离手机较近）</t>
  </si>
  <si>
    <t xml:space="preserve">几点了？马导说十一点四十上车。</t>
  </si>
  <si>
    <t xml:space="preserve">（在院子里坐下，手机仍在裤兜里）</t>
  </si>
  <si>
    <t xml:space="preserve">11:40</t>
  </si>
  <si>
    <t xml:space="preserve">才十点二十，还有一个多小时呢。</t>
  </si>
  <si>
    <t xml:space="preserve">（低头看自己的手机）</t>
  </si>
  <si>
    <r>
      <rPr>
        <sz val="10"/>
        <color rgb="FF000000"/>
        <rFont val="微软雅黑"/>
        <family val="0"/>
        <charset val="1"/>
      </rPr>
      <t xml:space="preserve">10:20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个多小时</t>
    </r>
  </si>
  <si>
    <t xml:space="preserve">那跟马导说一声，免得他找咱们。</t>
  </si>
  <si>
    <t xml:space="preserve">马导，我们俩先从晓月银坊出来了，在门口小院子里坐着等，十一点四十车上见啊。</t>
  </si>
  <si>
    <t xml:space="preserve">（用自己的手机发语音，离录音手机较近）</t>
  </si>
  <si>
    <t xml:space="preserve">马导；晓月银坊</t>
  </si>
  <si>
    <t xml:space="preserve">那个镯子其实挺好看的，九百块……</t>
  </si>
  <si>
    <t xml:space="preserve">（小声嘀咕）</t>
  </si>
  <si>
    <t xml:space="preserve">想买就回去买，人家说了十一点前都算数。</t>
  </si>
  <si>
    <t xml:space="preserve">11:00</t>
  </si>
  <si>
    <t xml:space="preserve">算了，不是，我是说，回家前再比比价吧。</t>
  </si>
  <si>
    <t xml:space="preserve">这就对了，坐会儿，等马导来。</t>
  </si>
  <si>
    <t xml:space="preserve">来，各位早上好！大家往我这边靠一靠，人都到齐了吧？</t>
  </si>
  <si>
    <t xml:space="preserve">（在大堂中间拍手）</t>
  </si>
  <si>
    <t xml:space="preserve">游客丁</t>
  </si>
  <si>
    <t xml:space="preserve">齐了齐了，就等您了。</t>
  </si>
  <si>
    <t xml:space="preserve">（离录音手机较远）</t>
  </si>
  <si>
    <t xml:space="preserve">好。那个，跟大家说个情况啊。今天上午原定的洱海游船，取消了，我们……</t>
  </si>
  <si>
    <t xml:space="preserve">洱海；游船</t>
  </si>
  <si>
    <t xml:space="preserve">啊？取消了？</t>
  </si>
  <si>
    <t xml:space="preserve">（打断）</t>
  </si>
  <si>
    <t xml:space="preserve">啊？怎么就取消了？</t>
  </si>
  <si>
    <t xml:space="preserve">大家先听我说完啊。早上我接到通知，说湖上风比较大，船开不了。所以呢，我们临时调整一下，上午改去一个体验中心，就在洱海边上。里面可以喝喝普洱茶，尝尝鲜花饼，看看银器，还能自己亲手做一做，环境挺好的，拍照也好看。中午吃完饭，下午照常去双廊，其他安排都不变，大家放心。</t>
  </si>
  <si>
    <t xml:space="preserve">（提高声音）（连续说了一大段）</t>
  </si>
  <si>
    <t xml:space="preserve">体验中心；洱海；普洱茶；鲜花饼；银器；双廊</t>
  </si>
  <si>
    <t xml:space="preserve">体验中心？体验中心是干什么的？</t>
  </si>
  <si>
    <t xml:space="preserve">体验中心</t>
  </si>
  <si>
    <t xml:space="preserve">是不是带我们去买东西的？</t>
  </si>
  <si>
    <t xml:space="preserve">不是不是，就是去体验一下，买不买随……</t>
  </si>
  <si>
    <t xml:space="preserve">我们就是冲着游船来的呀！</t>
  </si>
  <si>
    <t xml:space="preserve">游船</t>
  </si>
  <si>
    <t xml:space="preserve">对呀，我们就是冲着游船来的嘛！</t>
  </si>
  <si>
    <t xml:space="preserve">莫急莫急，风大这个事情，谁也没办法……</t>
  </si>
  <si>
    <t xml:space="preserve">风大？我刚才下楼的时候问了前台，前台说今天船照常开。</t>
  </si>
  <si>
    <t xml:space="preserve">对，我就站在旁边，听得清清楚楚。</t>
  </si>
  <si>
    <t xml:space="preserve">前台的消息，那个，也不一定准……</t>
  </si>
  <si>
    <t xml:space="preserve">那你的消息就准啦？</t>
  </si>
  <si>
    <t xml:space="preserve">就是，你的消息就准啦？</t>
  </si>
  <si>
    <t xml:space="preserve">大家先别吵，我把行程单拿出来对一对。</t>
  </si>
  <si>
    <t xml:space="preserve">（从背包里翻出行程单）</t>
  </si>
  <si>
    <t xml:space="preserve">行程单</t>
  </si>
  <si>
    <t xml:space="preserve">第二天，早上八点大堂集合，八点半出发。上午，乘船游洱海，约两个小时。中午用餐。下午，双廊自由活动。晚上回澄溪假日酒店。</t>
  </si>
  <si>
    <t xml:space="preserve">（照着行程单念，语速较慢）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</si>
  <si>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天；</t>
    </r>
    <r>
      <rPr>
        <sz val="10"/>
        <color rgb="FF000000"/>
        <rFont val="微软雅黑"/>
        <family val="0"/>
        <charset val="1"/>
      </rPr>
      <t xml:space="preserve">8:00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8:30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小时</t>
    </r>
  </si>
  <si>
    <t xml:space="preserve">洱海；双廊；澄溪假日酒店</t>
  </si>
  <si>
    <t xml:space="preserve">体验中心？一个字都没有。</t>
  </si>
  <si>
    <t xml:space="preserve">没有，真没有。</t>
  </si>
  <si>
    <t xml:space="preserve">（凑过去看）</t>
  </si>
  <si>
    <t xml:space="preserve">真没有。</t>
  </si>
  <si>
    <t xml:space="preserve">行程单是行程单嘛，实际情况总会有一些调……</t>
  </si>
  <si>
    <t xml:space="preserve">调整也得先跟我们商量吧？</t>
  </si>
  <si>
    <t xml:space="preserve">就是，一大早直接通知，这叫商量吗？</t>
  </si>
  <si>
    <t xml:space="preserve">我这不是正在跟大家商量嘛。</t>
  </si>
  <si>
    <t xml:space="preserve">你这是通知，不是商量。</t>
  </si>
  <si>
    <t xml:space="preserve">对，是通知，不是商量。</t>
  </si>
  <si>
    <t xml:space="preserve">好好好，我跟大家说实话。船票是我们没订上，这几天人太多了。</t>
  </si>
  <si>
    <t xml:space="preserve">啊？那刚才还说风大……</t>
  </si>
  <si>
    <t xml:space="preserve">没订上就说没订上嘛，说什么风大。</t>
  </si>
  <si>
    <t xml:space="preserve">是我说得不对，跟大家道个歉。</t>
  </si>
  <si>
    <t xml:space="preserve">不过体验中心那边呢，大家就当去坐坐，喝口茶。大家多少支持一下，下午去双廊的车也好协调一点。</t>
  </si>
  <si>
    <t xml:space="preserve">体验中心；双廊</t>
  </si>
  <si>
    <t xml:space="preserve">这跟车有什么关系？</t>
  </si>
  <si>
    <t xml:space="preserve">就是，这跟车有什么关系？</t>
  </si>
  <si>
    <t xml:space="preserve">游船是含在团费里的，一个人一百五十块。不坐船，这钱怎么算？</t>
  </si>
  <si>
    <t xml:space="preserve">游船；团费</t>
  </si>
  <si>
    <t xml:space="preserve">钱肯定不会少大家的，该退的……</t>
  </si>
  <si>
    <t xml:space="preserve">我们不要退钱，我们要坐船。我家孩子昨天晚上还念叨，说今天要坐大船呢。</t>
  </si>
  <si>
    <t xml:space="preserve">对，我们要坐船！</t>
  </si>
  <si>
    <t xml:space="preserve">（几个人同时说，这句最清楚）</t>
  </si>
  <si>
    <t xml:space="preserve">那……那这样，我现在给码头打个电话，问问今天还有没有别的班次。</t>
  </si>
  <si>
    <t xml:space="preserve">喂，你好，我是青岫远途旅行社的李导，想问一下今天下午还有没有船票？我们一共二十二位。</t>
  </si>
  <si>
    <t xml:space="preserve">（走到一旁打电话）（离录音手机较远）</t>
  </si>
  <si>
    <r>
      <rPr>
        <sz val="10"/>
        <color rgb="FF000000"/>
        <rFont val="微软雅黑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人</t>
    </r>
  </si>
  <si>
    <t xml:space="preserve">青岫远途旅行社；李导</t>
  </si>
  <si>
    <t xml:space="preserve">早这么打个电话问问，不就好了。</t>
  </si>
  <si>
    <t xml:space="preserve">（压低声音）</t>
  </si>
  <si>
    <t xml:space="preserve">就是，早干什么去了。</t>
  </si>
  <si>
    <t xml:space="preserve">（压低声音）（与上一句部分重叠）</t>
  </si>
  <si>
    <t xml:space="preserve">先别说了，听听他怎么讲。</t>
  </si>
  <si>
    <t xml:space="preserve">好消息啊，下午两点那班还有位置，我已经订上了。</t>
  </si>
  <si>
    <t xml:space="preserve">（打完电话走回来）</t>
  </si>
  <si>
    <t xml:space="preserve">14:00</t>
  </si>
  <si>
    <t xml:space="preserve">下午坐船，那双廊怎么办？</t>
  </si>
  <si>
    <t xml:space="preserve">双廊</t>
  </si>
  <si>
    <t xml:space="preserve">双廊挪到上午。九点出发，先去双廊，十一点半在那边吃午饭，一点半到码头，两点上船。</t>
  </si>
  <si>
    <r>
      <rPr>
        <sz val="10"/>
        <color rgb="FF000000"/>
        <rFont val="微软雅黑"/>
        <family val="0"/>
        <charset val="1"/>
      </rPr>
      <t xml:space="preserve">9:00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11:30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13:30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14:00</t>
    </r>
  </si>
  <si>
    <t xml:space="preserve">那体验中心呢？</t>
  </si>
  <si>
    <t xml:space="preserve">体验中心嘛，那个……</t>
  </si>
  <si>
    <t xml:space="preserve">不去了吧？</t>
  </si>
  <si>
    <t xml:space="preserve">不去了！</t>
  </si>
  <si>
    <t xml:space="preserve">好好好，不去不去，就按行程单走。</t>
  </si>
  <si>
    <t xml:space="preserve">李导，以后再有什么变动，先在群里说一声，大家都同意了再改。</t>
  </si>
  <si>
    <t xml:space="preserve">李导</t>
  </si>
  <si>
    <t xml:space="preserve">一定一定。那大家先回房间收拾一下，八点五十还在大堂集合。</t>
  </si>
  <si>
    <t xml:space="preserve">8:50</t>
  </si>
  <si>
    <t xml:space="preserve">八点五十，记住了。</t>
  </si>
  <si>
    <t xml:space="preserve">八点五十，记住了，走吧。</t>
  </si>
  <si>
    <t xml:space="preserve">好，各位，大理古城到了。大家注意听啊，现在十点整，十一点回到这个城门口集合，过时不候啊。</t>
  </si>
  <si>
    <t xml:space="preserve">（举着小旗，站在城门边）</t>
  </si>
  <si>
    <r>
      <rPr>
        <sz val="10"/>
        <color rgb="FF000000"/>
        <rFont val="微软雅黑"/>
        <family val="0"/>
        <charset val="1"/>
      </rPr>
      <t xml:space="preserve">10:00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11:00</t>
    </r>
  </si>
  <si>
    <t xml:space="preserve">大理古城</t>
  </si>
  <si>
    <t xml:space="preserve">十一点？</t>
  </si>
  <si>
    <t xml:space="preserve">十一点？那不就一个小时？</t>
  </si>
  <si>
    <r>
      <rPr>
        <sz val="10"/>
        <color rgb="FF000000"/>
        <rFont val="微软雅黑"/>
        <family val="0"/>
        <charset val="1"/>
      </rPr>
      <t xml:space="preserve">11:00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小时</t>
    </r>
  </si>
  <si>
    <t xml:space="preserve">李导，行程单上写的是古城游览三个小时啊。</t>
  </si>
  <si>
    <t xml:space="preserve">李导；行程单；古城</t>
  </si>
  <si>
    <t xml:space="preserve">三个小时太长了，古城就这么大，一个小时逛下来足够了。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</si>
  <si>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小时；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小时</t>
    </r>
  </si>
  <si>
    <t xml:space="preserve">古城</t>
  </si>
  <si>
    <t xml:space="preserve">够不够，得我们自己说了算吧？</t>
  </si>
  <si>
    <t xml:space="preserve">对，够不够我们自己说了算。</t>
  </si>
  <si>
    <t xml:space="preserve">古城里头走来走去都差不多，逛那么久也没多大意思……</t>
  </si>
  <si>
    <t xml:space="preserve">有没有意思，是我们自己的事。</t>
  </si>
  <si>
    <t xml:space="preserve">就是，钱都交了，凭什么少玩两个小时？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</si>
  <si>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小时</t>
    </r>
  </si>
  <si>
    <t xml:space="preserve">就是，凭什么？</t>
  </si>
  <si>
    <t xml:space="preserve">下午还要赶去丽江，走晚了路上车多，到酒店就……</t>
  </si>
  <si>
    <t xml:space="preserve">行程单上写的是下午两点才出发。</t>
  </si>
  <si>
    <t xml:space="preserve">对，下午两点，我也记得。</t>
  </si>
  <si>
    <t xml:space="preserve">我这儿带着合同呢，我念一下啊。</t>
  </si>
  <si>
    <t xml:space="preserve">（从文件袋里拿出合同）</t>
  </si>
  <si>
    <t xml:space="preserve">合同</t>
  </si>
  <si>
    <t xml:space="preserve">第三天：上午十点，抵达大理古城，自由游览，约三小时；中午在古城内自行用餐；下午两点，乘车前往丽江。</t>
  </si>
  <si>
    <t xml:space="preserve">（照着合同念）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</si>
  <si>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天；</t>
    </r>
    <r>
      <rPr>
        <sz val="10"/>
        <color rgb="FF000000"/>
        <rFont val="微软雅黑"/>
        <family val="0"/>
        <charset val="1"/>
      </rPr>
      <t xml:space="preserve">10:00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小时；</t>
    </r>
    <r>
      <rPr>
        <sz val="10"/>
        <color rgb="FF000000"/>
        <rFont val="微软雅黑"/>
        <family val="0"/>
        <charset val="1"/>
      </rPr>
      <t xml:space="preserve">14:00</t>
    </r>
  </si>
  <si>
    <t xml:space="preserve">大理古城；古城；丽江</t>
  </si>
  <si>
    <t xml:space="preserve">你看，约三小时，白纸黑字写着呢。</t>
  </si>
  <si>
    <t xml:space="preserve">白纸黑字。</t>
  </si>
  <si>
    <t xml:space="preserve">那个约字，就是说大概嘛，又不是非得三个小时……</t>
  </si>
  <si>
    <t xml:space="preserve">大概也不能从三个小时变成一个小时吧？</t>
  </si>
  <si>
    <t xml:space="preserve">差太多了。</t>
  </si>
  <si>
    <t xml:space="preserve">差得也太多了。</t>
  </si>
  <si>
    <t xml:space="preserve">我这也是按公司的安排……</t>
  </si>
  <si>
    <t xml:space="preserve">那你给公司打电话。</t>
  </si>
  <si>
    <t xml:space="preserve">对，打电话，开外放，我们一起听。</t>
  </si>
  <si>
    <t xml:space="preserve">要得要得，我问问我们经理。</t>
  </si>
  <si>
    <t xml:space="preserve">（拿出手机拨号，打开外放）</t>
  </si>
  <si>
    <t xml:space="preserve">喂，李导，什么事？</t>
  </si>
  <si>
    <t xml:space="preserve">（电话外放）</t>
  </si>
  <si>
    <t xml:space="preserve">张经理，我开着外放呢。我这边带团在大理古城，客人说游览时间要按三个小时来。</t>
  </si>
  <si>
    <t xml:space="preserve">张经理；大理古城</t>
  </si>
  <si>
    <t xml:space="preserve">嗯，这个情况啊。李导可能是担心下午路上车多，想早点走，大家也理解一……</t>
  </si>
  <si>
    <t xml:space="preserve">张经理您好，我是团里的游客。</t>
  </si>
  <si>
    <t xml:space="preserve">（凑近手机）（打断）</t>
  </si>
  <si>
    <t xml:space="preserve">张经理</t>
  </si>
  <si>
    <t xml:space="preserve">合同上写的是古城自由游览约三小时，下午两点出发。我们的要求很简单：按合同来。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</si>
  <si>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小时；</t>
    </r>
    <r>
      <rPr>
        <sz val="10"/>
        <color rgb="FF000000"/>
        <rFont val="微软雅黑"/>
        <family val="0"/>
        <charset val="1"/>
      </rPr>
      <t xml:space="preserve">14:00</t>
    </r>
  </si>
  <si>
    <t xml:space="preserve">合同；古城</t>
  </si>
  <si>
    <t xml:space="preserve">按合同来！</t>
  </si>
  <si>
    <t xml:space="preserve">好，好，大家先别急，我听明白了。</t>
  </si>
  <si>
    <t xml:space="preserve">（电话外放）（与上一句部分重叠）</t>
  </si>
  <si>
    <t xml:space="preserve">各位游客，我是青岫远途旅行社的张经理。刚才的情况我都听清楚了。合同上怎么写的，我们就怎么执行。今天大理古城的游览时间，就按三个小时来，大家放心逛，中午在古城里吃饭，下午两点再上车去丽江。去丽江的路上，也不会去任何行程单以外的地方。这件事是我们事先没有沟通好，给大家添麻烦了，我在这里向大家道个歉。</t>
  </si>
  <si>
    <t xml:space="preserve">（电话外放）（连续说了一大段）</t>
  </si>
  <si>
    <t xml:space="preserve">青岫远途旅行社；张经理；合同；大理古城；古城；丽江；行程单</t>
  </si>
  <si>
    <t xml:space="preserve">这还差不多。</t>
  </si>
  <si>
    <t xml:space="preserve">嗯，这还差不多。</t>
  </si>
  <si>
    <t xml:space="preserve">李导，你听到了吧？</t>
  </si>
  <si>
    <t xml:space="preserve">听到了，听到了。</t>
  </si>
  <si>
    <t xml:space="preserve">以后行程上有任何调整，先跟公司报备，再跟客人商量，客人同意了才能改。</t>
  </si>
  <si>
    <t xml:space="preserve">明白，张经理。</t>
  </si>
  <si>
    <t xml:space="preserve">张经理，还有个事。李导刚才说过时不候，这话我们听着不太舒服。</t>
  </si>
  <si>
    <t xml:space="preserve">张经理；李导</t>
  </si>
  <si>
    <t xml:space="preserve">李导，你跟大家道个歉。</t>
  </si>
  <si>
    <t xml:space="preserve">对不起各位，刚才是我说话太急了。</t>
  </si>
  <si>
    <t xml:space="preserve">没事，说开了就好。</t>
  </si>
  <si>
    <t xml:space="preserve">没事没事，说开了就好。</t>
  </si>
  <si>
    <t xml:space="preserve">那各位玩得开心，有什么事随时让李导打给我。</t>
  </si>
  <si>
    <t xml:space="preserve">好，那我再说一遍：下午一点五十，还是在这个城门口集合，两点准时上车。</t>
  </si>
  <si>
    <t xml:space="preserve">（挂断电话）</t>
  </si>
  <si>
    <r>
      <rPr>
        <sz val="10"/>
        <color rgb="FF000000"/>
        <rFont val="微软雅黑"/>
        <family val="0"/>
        <charset val="1"/>
      </rPr>
      <t xml:space="preserve">13:50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14:00</t>
    </r>
  </si>
  <si>
    <t xml:space="preserve">古城里人多，大家看好自己的包。走散了就打我电话，或者在群里说一声。</t>
  </si>
  <si>
    <t xml:space="preserve">一点五十，城门口，记住了。</t>
  </si>
  <si>
    <t xml:space="preserve">13:50</t>
  </si>
  <si>
    <t xml:space="preserve">走，先去逛逛。</t>
  </si>
  <si>
    <t xml:space="preserve">走走走，先逛逛再吃饭。</t>
  </si>
  <si>
    <t xml:space="preserve">好，各位，到了到了。大家拿好行李下车，今晚就住这儿。</t>
  </si>
  <si>
    <t xml:space="preserve">（晚上九点多，车停在客栈门口）</t>
  </si>
  <si>
    <t xml:space="preserve">远山客栈？</t>
  </si>
  <si>
    <t xml:space="preserve">（念门口的招牌）</t>
  </si>
  <si>
    <t xml:space="preserve">远山客栈</t>
  </si>
  <si>
    <t xml:space="preserve">远山客栈？不是澄溪假日酒店吗？</t>
  </si>
  <si>
    <t xml:space="preserve">远山客栈；澄溪假日酒店</t>
  </si>
  <si>
    <t xml:space="preserve">李导，合同上写的是澄溪假日酒店，走路十分钟就到古城。</t>
  </si>
  <si>
    <t xml:space="preserve">李导；合同；澄溪假日酒店；古城</t>
  </si>
  <si>
    <t xml:space="preserve">澄溪那边今天满房了，临时换到这边，标准都是一样的，大家……</t>
  </si>
  <si>
    <t xml:space="preserve">澄溪</t>
  </si>
  <si>
    <t xml:space="preserve">一样？那这儿离古城多远？</t>
  </si>
  <si>
    <t xml:space="preserve">开车嘛，二十多分钟。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</si>
  <si>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多分钟</t>
    </r>
  </si>
  <si>
    <t xml:space="preserve">二十多分钟？那晚上还怎么去古城？</t>
  </si>
  <si>
    <t xml:space="preserve">就是说嘛，我们姐妹就想晚上去古城逛逛。</t>
  </si>
  <si>
    <t xml:space="preserve">还有个事，跟大家说一下。明天的安排调一调：一早先去丽江，大理古城和洱海挪到第四天，到时候……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</si>
  <si>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天</t>
    </r>
  </si>
  <si>
    <t xml:space="preserve">丽江；大理古城；洱海</t>
  </si>
  <si>
    <t xml:space="preserve">等一下，顺序也换了？</t>
  </si>
  <si>
    <t xml:space="preserve">怎么什么都换了？</t>
  </si>
  <si>
    <t xml:space="preserve">就是说嘛，怎么什么都换了？</t>
  </si>
  <si>
    <t xml:space="preserve">这个咋个说呢，丽江那边只有明天有房，所以只能……</t>
  </si>
  <si>
    <t xml:space="preserve">订不上房是你们的问题，不能让我们来承担。</t>
  </si>
  <si>
    <t xml:space="preserve">我也是下午才接到公司的通知……</t>
  </si>
  <si>
    <t xml:space="preserve">下午就知道了？</t>
  </si>
  <si>
    <t xml:space="preserve">下午就知道了，那怎么不早说？</t>
  </si>
  <si>
    <t xml:space="preserve">这样吧，李导，你把经理请过来，我们当面谈。</t>
  </si>
  <si>
    <t xml:space="preserve">我打个电话，张经理十分钟就到。</t>
  </si>
  <si>
    <t xml:space="preserve">那我们就在大堂等。</t>
  </si>
  <si>
    <t xml:space="preserve">对，就在大堂等他。</t>
  </si>
  <si>
    <t xml:space="preserve">各位好，我是青岫远途旅行社的张经理，让大家久等了。</t>
  </si>
  <si>
    <t xml:space="preserve">（约十分钟后）（快步走进大堂，边走边说）</t>
  </si>
  <si>
    <t xml:space="preserve">青岫远途旅行社；张经理</t>
  </si>
  <si>
    <t xml:space="preserve">张经理，我是大家推的代表，先说一下情况。</t>
  </si>
  <si>
    <t xml:space="preserve">我们报的是大理丽江五日游，合同上写得清清楚楚：第一天晚上住澄溪假日酒店，就在大理古城边上；第二天游古城和洱海；第三天才去丽江。结果到了门口才知道，酒店换成了远山客栈，离古城开车要二十多分钟；明天的行程也换成了丽江。换酒店、换顺序，事先没有一个人跟我们商量，也没让我们签字确认。大家心里都不舒服。</t>
  </si>
  <si>
    <t xml:space="preserve">（语速平稳）（连续说了一大段）</t>
  </si>
  <si>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日游；第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天；第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天；第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天；</t>
    </r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多分钟</t>
    </r>
  </si>
  <si>
    <t xml:space="preserve">大理；丽江；合同；澄溪假日酒店；大理古城；古城；洱海；远山客栈</t>
  </si>
  <si>
    <t xml:space="preserve">对，一点都不舒服。</t>
  </si>
  <si>
    <t xml:space="preserve">明白明白，这事确实是我们做得不对。澄溪今天房间不够，是我们订房出了差错，所以……</t>
  </si>
  <si>
    <t xml:space="preserve">出了差错就直接换？</t>
  </si>
  <si>
    <t xml:space="preserve">直接换，一声都不说？</t>
  </si>
  <si>
    <t xml:space="preserve">是，应该提前说。我先讲讲处理办法，大家听听行不行。</t>
  </si>
  <si>
    <t xml:space="preserve">今晚先在远山客栈住一晚，房费差价，每间房退一百二十块。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</si>
  <si>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晚；</t>
    </r>
    <r>
      <rPr>
        <sz val="10"/>
        <color rgb="FF000000"/>
        <rFont val="微软雅黑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元</t>
    </r>
  </si>
  <si>
    <t xml:space="preserve">远山客栈；差价</t>
  </si>
  <si>
    <t xml:space="preserve">一百二？</t>
  </si>
  <si>
    <r>
      <rPr>
        <sz val="10"/>
        <color rgb="FF000000"/>
        <rFont val="微软雅黑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元</t>
    </r>
  </si>
  <si>
    <t xml:space="preserve">一百二不够吧，澄溪一晚上要四百多呢。</t>
  </si>
  <si>
    <r>
      <rPr>
        <sz val="10"/>
        <color rgb="FF000000"/>
        <rFont val="微软雅黑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多元</t>
    </r>
  </si>
  <si>
    <t xml:space="preserve">这边一晚才两百出头，差价起码两百。</t>
  </si>
  <si>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多元；</t>
    </r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</t>
    </r>
  </si>
  <si>
    <t xml:space="preserve">差价</t>
  </si>
  <si>
    <t xml:space="preserve">好，那就按实际差价，每间房退二百。</t>
  </si>
  <si>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</t>
    </r>
  </si>
  <si>
    <t xml:space="preserve">差价是差价。换顺序、多跑路，怎么补偿？</t>
  </si>
  <si>
    <t xml:space="preserve">每位游客再补偿一百元，明天上车前转给大家。</t>
  </si>
  <si>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元</t>
    </r>
  </si>
  <si>
    <t xml:space="preserve">还有，古城和洱海挪到第四天，时间会不会压缩？</t>
  </si>
  <si>
    <t xml:space="preserve">古城；洱海</t>
  </si>
  <si>
    <t xml:space="preserve">不会。第四天全天都在大理，时间一点不少，当晚就住澄溪假日酒店。</t>
  </si>
  <si>
    <t xml:space="preserve">大理；澄溪假日酒店</t>
  </si>
  <si>
    <t xml:space="preserve">那今天晚上想去古城呢？</t>
  </si>
  <si>
    <t xml:space="preserve">今晚想去古城的，十点门口坐车，免费送过去，十一点半接回来。</t>
  </si>
  <si>
    <r>
      <rPr>
        <sz val="10"/>
        <color rgb="FF000000"/>
        <rFont val="微软雅黑"/>
        <family val="0"/>
        <charset val="1"/>
      </rPr>
      <t xml:space="preserve">22:00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23:30</t>
    </r>
  </si>
  <si>
    <t xml:space="preserve">这个可以。</t>
  </si>
  <si>
    <t xml:space="preserve">这个可以，这个可以。</t>
  </si>
  <si>
    <t xml:space="preserve">张经理，这些麻烦写成书面的，您和李导签个字，我们拍照留底。</t>
  </si>
  <si>
    <t xml:space="preserve">没问题，我现在就写。</t>
  </si>
  <si>
    <t xml:space="preserve">（向前台借了纸笔）</t>
  </si>
  <si>
    <t xml:space="preserve">我念一遍：今晚住远山客栈，每间房退差价二百元；每人补偿一百元；第四天全天游大理古城和洱海，当晚住澄溪假日酒店；今晚十点免费送古城，十一点半接回。</t>
  </si>
  <si>
    <t xml:space="preserve">（拿着经理写好的纸念）</t>
  </si>
  <si>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元；第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天；</t>
    </r>
    <r>
      <rPr>
        <sz val="10"/>
        <color rgb="FF000000"/>
        <rFont val="微软雅黑"/>
        <family val="0"/>
        <charset val="1"/>
      </rPr>
      <t xml:space="preserve">22:00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23:30</t>
    </r>
  </si>
  <si>
    <t xml:space="preserve">远山客栈；差价；大理古城；洱海；澄溪假日酒店；古城</t>
  </si>
  <si>
    <t xml:space="preserve">可以，就按这个来。</t>
  </si>
  <si>
    <t xml:space="preserve">不过话说在前头：这个方案我们接受，但是保留投诉的权利。哪一条没落实，我们会向旅行社投诉，也会打一二三零一热线。</t>
  </si>
  <si>
    <t xml:space="preserve">对，保留投诉的权利。</t>
  </si>
  <si>
    <t xml:space="preserve">保留投诉的权利。</t>
  </si>
  <si>
    <t xml:space="preserve">理解理解，我们一定按上面写的落实。</t>
  </si>
  <si>
    <t xml:space="preserve">大家先办入住，房卡我来发。三零六，两位姐姐的。</t>
  </si>
  <si>
    <r>
      <rPr>
        <sz val="10"/>
        <color rgb="FF000000"/>
        <rFont val="微软雅黑"/>
        <family val="0"/>
        <charset val="1"/>
      </rPr>
      <t xml:space="preserve">306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</t>
    </r>
  </si>
  <si>
    <t xml:space="preserve">谢谢李导。</t>
  </si>
  <si>
    <t xml:space="preserve">今晚十点门口坐车，别忘了啊。</t>
  </si>
  <si>
    <t xml:space="preserve">22:00</t>
  </si>
  <si>
    <t xml:space="preserve">十点门口，忘不了。</t>
  </si>
  <si>
    <t xml:space="preserve">忘不了，忘不了。</t>
  </si>
  <si>
    <t xml:space="preserve">各位，跟大家说一下今晚的安排。</t>
  </si>
  <si>
    <t xml:space="preserve">（拍手示意大家安静）</t>
  </si>
  <si>
    <t xml:space="preserve">今晚八点有一场演出，叫《云上花间》，来丽江的客人大多会去看，票价每人二百八十元。</t>
  </si>
  <si>
    <r>
      <rPr>
        <sz val="10"/>
        <color rgb="FF000000"/>
        <rFont val="微软雅黑"/>
        <family val="0"/>
        <charset val="1"/>
      </rPr>
      <t xml:space="preserve">20:00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</t>
    </r>
  </si>
  <si>
    <t xml:space="preserve">云上花间；丽江</t>
  </si>
  <si>
    <t xml:space="preserve">要看的到我这儿登记，七点二十在大堂集合，七点半发车。</t>
  </si>
  <si>
    <r>
      <rPr>
        <sz val="10"/>
        <color rgb="FF000000"/>
        <rFont val="微软雅黑"/>
        <family val="0"/>
        <charset val="1"/>
      </rPr>
      <t xml:space="preserve">19:20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19:30</t>
    </r>
  </si>
  <si>
    <t xml:space="preserve">大家多少支持一下，报名的要是不到十五个人，这个车就不太好协调了。</t>
  </si>
  <si>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人</t>
    </r>
  </si>
  <si>
    <t xml:space="preserve">那我们家三个人先报了啊，刚才已经扫码转给你八百四了。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</si>
  <si>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840</t>
    </r>
    <r>
      <rPr>
        <sz val="10"/>
        <color rgb="FF000000"/>
        <rFont val="Noto Sans CJK SC"/>
        <family val="2"/>
      </rPr>
      <t xml:space="preserve">元</t>
    </r>
  </si>
  <si>
    <t xml:space="preserve">等一下，陈导，你先莫急收钱。我记得合同里写着，这个演出是含的。</t>
  </si>
  <si>
    <t xml:space="preserve">（从包里拿出合同）</t>
  </si>
  <si>
    <t xml:space="preserve">陈导</t>
  </si>
  <si>
    <t xml:space="preserve">含的？不会吧，演出一直都是自费项目啊。</t>
  </si>
  <si>
    <t xml:space="preserve">自费项目</t>
  </si>
  <si>
    <r>
      <rPr>
        <sz val="10"/>
        <color rgb="FF000000"/>
        <rFont val="Noto Sans CJK SC"/>
        <family val="2"/>
      </rPr>
      <t xml:space="preserve">你看嘛，合同编号 </t>
    </r>
    <r>
      <rPr>
        <sz val="10"/>
        <color rgb="FF000000"/>
        <rFont val="微软雅黑"/>
        <family val="0"/>
        <charset val="1"/>
      </rPr>
      <t xml:space="preserve">HT </t>
    </r>
    <r>
      <rPr>
        <sz val="10"/>
        <color rgb="FF000000"/>
        <rFont val="Noto Sans CJK SC"/>
        <family val="2"/>
      </rPr>
      <t xml:space="preserve">二零二六 零零零零 幺幺八，第二页，第七条。</t>
    </r>
  </si>
  <si>
    <t xml:space="preserve">（翻开合同）</t>
  </si>
  <si>
    <r>
      <rPr>
        <sz val="10"/>
        <color rgb="FF000000"/>
        <rFont val="微软雅黑"/>
        <family val="0"/>
        <charset val="1"/>
      </rPr>
      <t xml:space="preserve">HT-20260000-118</t>
    </r>
    <r>
      <rPr>
        <sz val="10"/>
        <color rgb="FF000000"/>
        <rFont val="Noto Sans CJK SC"/>
        <family val="2"/>
      </rPr>
      <t xml:space="preserve">；第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页；第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条</t>
    </r>
  </si>
  <si>
    <t xml:space="preserve">合同编号</t>
  </si>
  <si>
    <r>
      <rPr>
        <sz val="10"/>
        <color rgb="FF000000"/>
        <rFont val="Noto Sans CJK SC"/>
        <family val="2"/>
      </rPr>
      <t xml:space="preserve">上面写着：第三天晚上，观看《云上花间》，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区座位，费用已含在团费里。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</si>
  <si>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天</t>
    </r>
  </si>
  <si>
    <r>
      <rPr>
        <sz val="10"/>
        <color rgb="FF000000"/>
        <rFont val="Noto Sans CJK SC"/>
        <family val="2"/>
      </rPr>
      <t xml:space="preserve">云上花间；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区；团费</t>
    </r>
  </si>
  <si>
    <t xml:space="preserve">嗯……是写了。可是那个，我拿到的单子上写的是自费，二百八一位。</t>
  </si>
  <si>
    <t xml:space="preserve">（凑近看合同，停顿约两秒）</t>
  </si>
  <si>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</t>
    </r>
  </si>
  <si>
    <t xml:space="preserve">自费</t>
  </si>
  <si>
    <t xml:space="preserve">那就怪了。我们团费每人三千六百八，定金一千，尾款二千六百八十元，一分没少啊。</t>
  </si>
  <si>
    <r>
      <rPr>
        <sz val="10"/>
        <color rgb="FF000000"/>
        <rFont val="微软雅黑"/>
        <family val="0"/>
        <charset val="1"/>
      </rPr>
      <t xml:space="preserve">3680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2680</t>
    </r>
    <r>
      <rPr>
        <sz val="10"/>
        <color rgb="FF000000"/>
        <rFont val="Noto Sans CJK SC"/>
        <family val="2"/>
      </rPr>
      <t xml:space="preserve">元</t>
    </r>
  </si>
  <si>
    <t xml:space="preserve">团费；定金；尾款</t>
  </si>
  <si>
    <t xml:space="preserve">三个人一共一万一千零四十，收据都在我手机里。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</si>
  <si>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11040</t>
    </r>
    <r>
      <rPr>
        <sz val="10"/>
        <color rgb="FF000000"/>
        <rFont val="Noto Sans CJK SC"/>
        <family val="2"/>
      </rPr>
      <t xml:space="preserve">元</t>
    </r>
  </si>
  <si>
    <t xml:space="preserve">您别着急，我马上打电话问问公司。</t>
  </si>
  <si>
    <t xml:space="preserve">喂，经理，是我。我这个团二十六个人，客人说合同里含《云上花间》。</t>
  </si>
  <si>
    <t xml:space="preserve">（拨通电话，开免提）</t>
  </si>
  <si>
    <r>
      <rPr>
        <sz val="10"/>
        <color rgb="FF000000"/>
        <rFont val="微软雅黑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人</t>
    </r>
  </si>
  <si>
    <t xml:space="preserve">云上花间</t>
  </si>
  <si>
    <t xml:space="preserve">你把合同号报一下，我查查。</t>
  </si>
  <si>
    <t xml:space="preserve">（电话免提，声音较远）</t>
  </si>
  <si>
    <t xml:space="preserve">合同号</t>
  </si>
  <si>
    <r>
      <rPr>
        <sz val="10"/>
        <color rgb="FF000000"/>
        <rFont val="微软雅黑"/>
        <family val="0"/>
        <charset val="1"/>
      </rPr>
      <t xml:space="preserve">HT </t>
    </r>
    <r>
      <rPr>
        <sz val="10"/>
        <color rgb="FF000000"/>
        <rFont val="Noto Sans CJK SC"/>
        <family val="2"/>
      </rPr>
      <t xml:space="preserve">杠 二零二六 四个零 杠 一一八。</t>
    </r>
  </si>
  <si>
    <t xml:space="preserve">HT-20260000-118</t>
  </si>
  <si>
    <t xml:space="preserve">嗯，找到了。这个团是九月二十八号签的，签的是品质团。</t>
  </si>
  <si>
    <t xml:space="preserve">（电话免提）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</si>
  <si>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微软雅黑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</t>
    </r>
  </si>
  <si>
    <t xml:space="preserve">品质团</t>
  </si>
  <si>
    <r>
      <rPr>
        <sz val="10"/>
        <color rgb="FF000000"/>
        <rFont val="Noto Sans CJK SC"/>
        <family val="2"/>
      </rPr>
      <t xml:space="preserve">品质团含演出，含的是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区，一百八十块一张。你说的二百八，是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区的价格。</t>
    </r>
  </si>
  <si>
    <r>
      <rPr>
        <sz val="10"/>
        <color rgb="FF000000"/>
        <rFont val="微软雅黑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</t>
    </r>
  </si>
  <si>
    <r>
      <rPr>
        <sz val="10"/>
        <color rgb="FF000000"/>
        <rFont val="Noto Sans CJK SC"/>
        <family val="2"/>
      </rPr>
      <t xml:space="preserve">品质团；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区；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</t>
    </r>
  </si>
  <si>
    <t xml:space="preserve">哦，那我手上这张二百八的单子是……</t>
  </si>
  <si>
    <t xml:space="preserve">那是经济团的价目单，你拿错了。经济团团费两千八百八，演出是自费的。</t>
  </si>
  <si>
    <r>
      <rPr>
        <sz val="10"/>
        <color rgb="FF000000"/>
        <rFont val="微软雅黑"/>
        <family val="0"/>
        <charset val="1"/>
      </rPr>
      <t xml:space="preserve">2880</t>
    </r>
    <r>
      <rPr>
        <sz val="10"/>
        <color rgb="FF000000"/>
        <rFont val="Noto Sans CJK SC"/>
        <family val="2"/>
      </rPr>
      <t xml:space="preserve">元</t>
    </r>
  </si>
  <si>
    <t xml:space="preserve">经济团；价目单；团费；自费</t>
  </si>
  <si>
    <r>
      <rPr>
        <sz val="10"/>
        <color rgb="FF000000"/>
        <rFont val="Noto Sans CJK SC"/>
        <family val="2"/>
      </rPr>
      <t xml:space="preserve">你们团看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区不用另外收钱，想换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区，补一百块差价就行。</t>
    </r>
  </si>
  <si>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区；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区；差价</t>
    </r>
  </si>
  <si>
    <t xml:space="preserve">我就说嘛，合同上白纸黑字写着的。</t>
  </si>
  <si>
    <t xml:space="preserve">各位，实在不好意思，是我拿错单子了，十分抱歉。</t>
  </si>
  <si>
    <t xml:space="preserve">那我们刚才转的八百四，咋个算？</t>
  </si>
  <si>
    <r>
      <rPr>
        <sz val="10"/>
        <color rgb="FF000000"/>
        <rFont val="微软雅黑"/>
        <family val="0"/>
        <charset val="1"/>
      </rPr>
      <t xml:space="preserve">840</t>
    </r>
    <r>
      <rPr>
        <sz val="10"/>
        <color rgb="FF000000"/>
        <rFont val="Noto Sans CJK SC"/>
        <family val="2"/>
      </rPr>
      <t xml:space="preserve">元</t>
    </r>
  </si>
  <si>
    <r>
      <rPr>
        <sz val="10"/>
        <color rgb="FF000000"/>
        <rFont val="Noto Sans CJK SC"/>
        <family val="2"/>
      </rPr>
      <t xml:space="preserve">您家三位要是就看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区，八百四全部退给您。</t>
    </r>
  </si>
  <si>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</t>
    </r>
  </si>
  <si>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区是前面几排？</t>
    </r>
  </si>
  <si>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</t>
    </r>
  </si>
  <si>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区是第一排到第十排，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区是第十一排到第二十五排，也看得清楚。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</si>
  <si>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排；第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排；第</t>
    </r>
    <r>
      <rPr>
        <sz val="10"/>
        <color rgb="FF000000"/>
        <rFont val="微软雅黑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排；第</t>
    </r>
    <r>
      <rPr>
        <sz val="10"/>
        <color rgb="FF000000"/>
        <rFont val="微软雅黑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排</t>
    </r>
  </si>
  <si>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区；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</t>
    </r>
  </si>
  <si>
    <r>
      <rPr>
        <sz val="10"/>
        <color rgb="FF000000"/>
        <rFont val="Noto Sans CJK SC"/>
        <family val="2"/>
      </rPr>
      <t xml:space="preserve">老人眼神不太好，我们还是换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区吧。补一百，三个人就是三百。</t>
    </r>
  </si>
  <si>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元</t>
    </r>
  </si>
  <si>
    <t xml:space="preserve">好，那八百四里面退您五百八……不是，我是说退五百四，留下三百。</t>
  </si>
  <si>
    <r>
      <rPr>
        <sz val="10"/>
        <color rgb="FF000000"/>
        <rFont val="微软雅黑"/>
        <family val="0"/>
        <charset val="1"/>
      </rPr>
      <t xml:space="preserve">840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元</t>
    </r>
  </si>
  <si>
    <t xml:space="preserve">八百四减五百四，三百，对的对的。</t>
  </si>
  <si>
    <t xml:space="preserve">（低声算）</t>
  </si>
  <si>
    <r>
      <rPr>
        <sz val="10"/>
        <color rgb="FF000000"/>
        <rFont val="微软雅黑"/>
        <family val="0"/>
        <charset val="1"/>
      </rPr>
      <t xml:space="preserve">840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元</t>
    </r>
  </si>
  <si>
    <r>
      <rPr>
        <sz val="10"/>
        <color rgb="FF000000"/>
        <rFont val="Noto Sans CJK SC"/>
        <family val="2"/>
      </rPr>
      <t xml:space="preserve">那我们其他人只看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区的，是不是一分钱都不用出？</t>
    </r>
  </si>
  <si>
    <r>
      <rPr>
        <sz val="10"/>
        <color rgb="FF000000"/>
        <rFont val="Noto Sans CJK SC"/>
        <family val="2"/>
      </rPr>
      <t xml:space="preserve">对，其他二十三位看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区，不用交钱。八零六房间的大姐也转了两百八，待会儿退给她。</t>
    </r>
  </si>
  <si>
    <r>
      <rPr>
        <sz val="10"/>
        <color rgb="FF000000"/>
        <rFont val="微软雅黑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806</t>
    </r>
    <r>
      <rPr>
        <sz val="10"/>
        <color rgb="FF000000"/>
        <rFont val="Noto Sans CJK SC"/>
        <family val="2"/>
      </rPr>
      <t xml:space="preserve">房间；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</t>
    </r>
  </si>
  <si>
    <t xml:space="preserve">还有，你刚才说不到十五个人车子就不好协调，这话怎么说？</t>
  </si>
  <si>
    <t xml:space="preserve">那是我说得不对。二十六个人都去，车子肯定安排好。</t>
  </si>
  <si>
    <t xml:space="preserve">时间我再说一遍：七点二十大堂集合，差十分八点到剧场，在二号门取票。</t>
  </si>
  <si>
    <r>
      <rPr>
        <sz val="10"/>
        <color rgb="FF000000"/>
        <rFont val="微软雅黑"/>
        <family val="0"/>
        <charset val="1"/>
      </rPr>
      <t xml:space="preserve">19:20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19:50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号门</t>
    </r>
  </si>
  <si>
    <t xml:space="preserve">演出要多长时间？</t>
  </si>
  <si>
    <t xml:space="preserve">七十分钟左右，九点十分结束，九点四十以前回到酒店。</t>
  </si>
  <si>
    <r>
      <rPr>
        <sz val="10"/>
        <color rgb="FF000000"/>
        <rFont val="微软雅黑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21:10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21:40</t>
    </r>
  </si>
  <si>
    <t xml:space="preserve">今晚回来得晚，明天早上出发从八点改到八点半。</t>
  </si>
  <si>
    <r>
      <rPr>
        <sz val="10"/>
        <color rgb="FF000000"/>
        <rFont val="微软雅黑"/>
        <family val="0"/>
        <charset val="1"/>
      </rPr>
      <t xml:space="preserve">8:00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8:30</t>
    </r>
  </si>
  <si>
    <t xml:space="preserve">要得。那五百四你原路转回来就行，我们住幺二幺八。</t>
  </si>
  <si>
    <r>
      <rPr>
        <sz val="10"/>
        <color rgb="FF000000"/>
        <rFont val="微软雅黑"/>
        <family val="0"/>
        <charset val="1"/>
      </rPr>
      <t xml:space="preserve">540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1218</t>
    </r>
  </si>
  <si>
    <t xml:space="preserve">好，一二一八房间，五百四，现在就转。</t>
  </si>
  <si>
    <t xml:space="preserve">（低头在本子上记）</t>
  </si>
  <si>
    <r>
      <rPr>
        <sz val="10"/>
        <color rgb="FF000000"/>
        <rFont val="微软雅黑"/>
        <family val="0"/>
        <charset val="1"/>
      </rPr>
      <t xml:space="preserve">1218</t>
    </r>
    <r>
      <rPr>
        <sz val="10"/>
        <color rgb="FF000000"/>
        <rFont val="Noto Sans CJK SC"/>
        <family val="2"/>
      </rPr>
      <t xml:space="preserve">房间；</t>
    </r>
    <r>
      <rPr>
        <sz val="10"/>
        <color rgb="FF000000"/>
        <rFont val="微软雅黑"/>
        <family val="0"/>
        <charset val="1"/>
      </rPr>
      <t xml:space="preserve">540</t>
    </r>
    <r>
      <rPr>
        <sz val="10"/>
        <color rgb="FF000000"/>
        <rFont val="Noto Sans CJK SC"/>
        <family val="2"/>
      </rPr>
      <t xml:space="preserve">元</t>
    </r>
  </si>
  <si>
    <t xml:space="preserve">陈导，再确认一下，合同上的第三天就是今天十月十五号吧？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</si>
  <si>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天；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日</t>
    </r>
  </si>
  <si>
    <t xml:space="preserve">对，今天十五号，第三天，没错。</t>
  </si>
  <si>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日；第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天</t>
    </r>
  </si>
  <si>
    <t xml:space="preserve">行，那我没意见了。下回单子可要先看清楚啊。</t>
  </si>
  <si>
    <t xml:space="preserve">一定一定。我把账再报一遍：刚才一共收了四位，一千一百二。</t>
  </si>
  <si>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1120</t>
    </r>
    <r>
      <rPr>
        <sz val="10"/>
        <color rgb="FF000000"/>
        <rFont val="Noto Sans CJK SC"/>
        <family val="2"/>
      </rPr>
      <t xml:space="preserve">元</t>
    </r>
  </si>
  <si>
    <r>
      <rPr>
        <sz val="10"/>
        <color rgb="FF000000"/>
        <rFont val="Noto Sans CJK SC"/>
        <family val="2"/>
      </rPr>
      <t xml:space="preserve">现在退出去八百二，您家五百四，八零六的大姐两百八，留下三百，是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区的差价。</t>
    </r>
  </si>
  <si>
    <r>
      <rPr>
        <sz val="10"/>
        <color rgb="FF000000"/>
        <rFont val="微软雅黑"/>
        <family val="0"/>
        <charset val="1"/>
      </rPr>
      <t xml:space="preserve">820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806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元</t>
    </r>
  </si>
  <si>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区；差价</t>
    </r>
  </si>
  <si>
    <t xml:space="preserve">一千一百二减八百二，三百，没错。</t>
  </si>
  <si>
    <r>
      <rPr>
        <sz val="10"/>
        <color rgb="FF000000"/>
        <rFont val="微软雅黑"/>
        <family val="0"/>
        <charset val="1"/>
      </rPr>
      <t xml:space="preserve">1120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820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元</t>
    </r>
  </si>
  <si>
    <t xml:space="preserve">好，大家先回房间歇会儿，七点二十大堂见。</t>
  </si>
  <si>
    <t xml:space="preserve">19:20</t>
  </si>
  <si>
    <t xml:space="preserve">大家注意一下，人到齐了我们四点半出发，还有一刻钟，五点四十左右到大理吃晚饭。</t>
  </si>
  <si>
    <t xml:space="preserve">（用小喇叭）</t>
  </si>
  <si>
    <r>
      <rPr>
        <sz val="10"/>
        <color rgb="FF000000"/>
        <rFont val="微软雅黑"/>
        <family val="0"/>
        <charset val="1"/>
      </rPr>
      <t xml:space="preserve">16:30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17:40</t>
    </r>
  </si>
  <si>
    <t xml:space="preserve">陈导，先别急着走，我们几个没坐索道的，钱咋个算？</t>
  </si>
  <si>
    <t xml:space="preserve">对，还有我们三个，环湖电瓶车也没坐，是走路过去的。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</si>
  <si>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</t>
    </r>
  </si>
  <si>
    <t xml:space="preserve">环湖电瓶车</t>
  </si>
  <si>
    <t xml:space="preserve">好好好，一个一个来。早上在车上收的是索道加电瓶车，每人一百九，一共二十二个人。</t>
  </si>
  <si>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人</t>
    </r>
  </si>
  <si>
    <t xml:space="preserve">望湖索道团队价一百四，环湖电瓶车团队价五十，加起来正好一百九。</t>
  </si>
  <si>
    <r>
      <rPr>
        <sz val="10"/>
        <color rgb="FF000000"/>
        <rFont val="微软雅黑"/>
        <family val="0"/>
        <charset val="1"/>
      </rPr>
      <t xml:space="preserve">140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</t>
    </r>
  </si>
  <si>
    <t xml:space="preserve">望湖索道；团队价；环湖电瓶车</t>
  </si>
  <si>
    <t xml:space="preserve">团队价？售票处牌子上索道写的是一百六，电瓶车六十，要退就该按牌子上的退。</t>
  </si>
  <si>
    <r>
      <rPr>
        <sz val="10"/>
        <color rgb="FF000000"/>
        <rFont val="微软雅黑"/>
        <family val="0"/>
        <charset val="1"/>
      </rPr>
      <t xml:space="preserve">160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元</t>
    </r>
  </si>
  <si>
    <t xml:space="preserve">团队价</t>
  </si>
  <si>
    <t xml:space="preserve">牌子上那是门市价。我们买的是团队价，退也只能按一百四和五十来退。</t>
  </si>
  <si>
    <r>
      <rPr>
        <sz val="10"/>
        <color rgb="FF000000"/>
        <rFont val="微软雅黑"/>
        <family val="0"/>
        <charset val="1"/>
      </rPr>
      <t xml:space="preserve">140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元</t>
    </r>
  </si>
  <si>
    <t xml:space="preserve">门市价；团队价</t>
  </si>
  <si>
    <t xml:space="preserve">行，那先把人数理清楚。</t>
  </si>
  <si>
    <t xml:space="preserve">没坐索道的，我跟我爱人两个，后排两位老人家，一共四个。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</si>
  <si>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人</t>
    </r>
  </si>
  <si>
    <t xml:space="preserve">排队的时候，屏幕上显示前面还有一百五十一个人，等了四十分钟都没排上，你也没过来管一下。</t>
  </si>
  <si>
    <r>
      <rPr>
        <sz val="10"/>
        <color rgb="FF000000"/>
        <rFont val="微软雅黑"/>
        <family val="0"/>
        <charset val="1"/>
      </rPr>
      <t xml:space="preserve">151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分钟</t>
    </r>
  </si>
  <si>
    <t xml:space="preserve">这个怪我，当时在山下换票没顾上，跟您道个歉。</t>
  </si>
  <si>
    <t xml:space="preserve">没坐电瓶车的就我们三个，沿着湖边走了将近一个小时。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</si>
  <si>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小时</t>
    </r>
  </si>
  <si>
    <t xml:space="preserve">我是索道和电瓶车都没坐，中午有点晕车，一直在车上歇着。</t>
  </si>
  <si>
    <t xml:space="preserve">好，那我来算。没坐索道的四位，加上这位大姐，五个人，一人一百四，就是七百。</t>
  </si>
  <si>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700</t>
    </r>
    <r>
      <rPr>
        <sz val="10"/>
        <color rgb="FF000000"/>
        <rFont val="Noto Sans CJK SC"/>
        <family val="2"/>
      </rPr>
      <t xml:space="preserve">元</t>
    </r>
  </si>
  <si>
    <t xml:space="preserve">没坐电瓶车的三位，也加上大姐，四个人，一人五十，两百。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</si>
  <si>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</t>
    </r>
  </si>
  <si>
    <t xml:space="preserve">七百加两百，一共退九百。</t>
  </si>
  <si>
    <r>
      <rPr>
        <sz val="10"/>
        <color rgb="FF000000"/>
        <rFont val="微软雅黑"/>
        <family val="0"/>
        <charset val="1"/>
      </rPr>
      <t xml:space="preserve">700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</t>
    </r>
  </si>
  <si>
    <t xml:space="preserve">等一下，不对吧。大姐啥都没坐，该退一百九，你没加她这一百九，应该是一千零九十。</t>
  </si>
  <si>
    <t xml:space="preserve">（低头按手机计算器）</t>
  </si>
  <si>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1090</t>
    </r>
    <r>
      <rPr>
        <sz val="10"/>
        <color rgb="FF000000"/>
        <rFont val="Noto Sans CJK SC"/>
        <family val="2"/>
      </rPr>
      <t xml:space="preserve">元</t>
    </r>
  </si>
  <si>
    <t xml:space="preserve">一千零九十？那……我再算算。</t>
  </si>
  <si>
    <r>
      <rPr>
        <sz val="10"/>
        <color rgb="FF000000"/>
        <rFont val="微软雅黑"/>
        <family val="0"/>
        <charset val="1"/>
      </rPr>
      <t xml:space="preserve">1090</t>
    </r>
    <r>
      <rPr>
        <sz val="10"/>
        <color rgb="FF000000"/>
        <rFont val="Noto Sans CJK SC"/>
        <family val="2"/>
      </rPr>
      <t xml:space="preserve">元</t>
    </r>
  </si>
  <si>
    <t xml:space="preserve">不是不是，你这是算重了。大姐已经算在那五个人和四个人里头了，不能再加一遍。</t>
  </si>
  <si>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人</t>
    </r>
  </si>
  <si>
    <t xml:space="preserve">哦，对对对，是我算重了，不好意思啊。</t>
  </si>
  <si>
    <t xml:space="preserve">那我的单独算：一百四加五十，一百九，对吧？</t>
  </si>
  <si>
    <t xml:space="preserve">没错。九百里头，大姐一百九，您家两位索道二百八，后排两位老人二百八，电瓶车三位一百五。</t>
  </si>
  <si>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</t>
    </r>
  </si>
  <si>
    <t xml:space="preserve">一百九加二百八，再加二百八，七百五，再加一百五，九百。嗯，这回对上了。</t>
  </si>
  <si>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</t>
    </r>
  </si>
  <si>
    <t xml:space="preserve">不过有个情况，没用的索道票要去窗口退，景区要扣百分之十的手续费。</t>
  </si>
  <si>
    <t xml:space="preserve">10%</t>
  </si>
  <si>
    <t xml:space="preserve">手续费</t>
  </si>
  <si>
    <t xml:space="preserve">还要扣钱？扣多少？</t>
  </si>
  <si>
    <t xml:space="preserve">一张一百四，扣十四块，退一百二十六。五张就是……六百三十。</t>
  </si>
  <si>
    <r>
      <rPr>
        <sz val="10"/>
        <color rgb="FF000000"/>
        <rFont val="微软雅黑"/>
        <family val="0"/>
        <charset val="1"/>
      </rPr>
      <t xml:space="preserve">140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126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张；</t>
    </r>
    <r>
      <rPr>
        <sz val="10"/>
        <color rgb="FF000000"/>
        <rFont val="微软雅黑"/>
        <family val="0"/>
        <charset val="1"/>
      </rPr>
      <t xml:space="preserve">630</t>
    </r>
    <r>
      <rPr>
        <sz val="10"/>
        <color rgb="FF000000"/>
        <rFont val="Noto Sans CJK SC"/>
        <family val="2"/>
      </rPr>
      <t xml:space="preserve">元</t>
    </r>
  </si>
  <si>
    <t xml:space="preserve">这不合理嘛。排了四十分钟队，又不是我们不想坐，手续费凭啥我们出？</t>
  </si>
  <si>
    <t xml:space="preserve">就是说嘛，要扣也该旅行社出，你问问公司。</t>
  </si>
  <si>
    <t xml:space="preserve">我问过公司了，五张票的手续费一共七十块，我们拾光滇程旅行社出，大家还是按一百四全额退。</t>
  </si>
  <si>
    <t xml:space="preserve">（走到一旁打电话，约半分钟后回来）</t>
  </si>
  <si>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张；</t>
    </r>
    <r>
      <rPr>
        <sz val="10"/>
        <color rgb="FF000000"/>
        <rFont val="微软雅黑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140</t>
    </r>
    <r>
      <rPr>
        <sz val="10"/>
        <color rgb="FF000000"/>
        <rFont val="Noto Sans CJK SC"/>
        <family val="2"/>
      </rPr>
      <t xml:space="preserve">元</t>
    </r>
  </si>
  <si>
    <t xml:space="preserve">手续费；拾光滇程旅行社</t>
  </si>
  <si>
    <t xml:space="preserve">那就还是九百。现在四点二十，我五点以前去窗口退那五张索道票。电瓶车是上车刷卡的，钱本来就在我这儿。</t>
  </si>
  <si>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16:20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张</t>
    </r>
  </si>
  <si>
    <t xml:space="preserve">那钱是现在给，还是晚上给？</t>
  </si>
  <si>
    <t xml:space="preserve">现在就给。您家两位，二百八，现金，您点一下。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</si>
  <si>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</t>
    </r>
  </si>
  <si>
    <t xml:space="preserve">一百，两百，两百二，两百四，两百六，两百八。对的。</t>
  </si>
  <si>
    <t xml:space="preserve">（边数边念）</t>
  </si>
  <si>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260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</t>
    </r>
  </si>
  <si>
    <t xml:space="preserve">我们三个电瓶车的一百五，扫码转我就行。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</si>
  <si>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</t>
    </r>
  </si>
  <si>
    <t xml:space="preserve">好，一百五十块，转过去了，您看看到账没有。</t>
  </si>
  <si>
    <t xml:space="preserve">到了，一百五十整。</t>
  </si>
  <si>
    <t xml:space="preserve">那我的一百九呢？</t>
  </si>
  <si>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</t>
    </r>
  </si>
  <si>
    <t xml:space="preserve">大姐，您的一百九给现金：一百的一张，五十的一张，二十的两张，您收好。</t>
  </si>
  <si>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张；</t>
    </r>
    <r>
      <rPr>
        <sz val="10"/>
        <color rgb="FF000000"/>
        <rFont val="微软雅黑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张；</t>
    </r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张</t>
    </r>
  </si>
  <si>
    <t xml:space="preserve">收到了，谢谢陈导。</t>
  </si>
  <si>
    <t xml:space="preserve">后排两位老人家的二百八，我上车再给。一共九百，分四笔：一百九、二百八、二百八、一百五。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</si>
  <si>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900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笔；</t>
    </r>
    <r>
      <rPr>
        <sz val="10"/>
        <color rgb="FF000000"/>
        <rFont val="微软雅黑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</t>
    </r>
  </si>
  <si>
    <t xml:space="preserve">行，那你赶紧去退票，别过了五点。</t>
  </si>
  <si>
    <t xml:space="preserve">17:00</t>
  </si>
  <si>
    <t xml:space="preserve">好。我四点四十回来，出发时间从四点半改到四点五十，晚饭也从五点四十改到六点。</t>
  </si>
  <si>
    <r>
      <rPr>
        <sz val="10"/>
        <color rgb="FF000000"/>
        <rFont val="微软雅黑"/>
        <family val="0"/>
        <charset val="1"/>
      </rPr>
      <t xml:space="preserve">16:40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16:30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16:50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18:00</t>
    </r>
  </si>
  <si>
    <t xml:space="preserve">要得，我们先上车等你。</t>
  </si>
  <si>
    <t xml:space="preserve">各位，咱们从石林出来了，现在三点二十，离昆明还有八十多公里，前面服务区停十五分钟。</t>
  </si>
  <si>
    <r>
      <rPr>
        <sz val="10"/>
        <color rgb="FF000000"/>
        <rFont val="微软雅黑"/>
        <family val="0"/>
        <charset val="1"/>
      </rPr>
      <t xml:space="preserve">15:20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多公里；</t>
    </r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分钟</t>
    </r>
  </si>
  <si>
    <t xml:space="preserve">石林；昆明</t>
  </si>
  <si>
    <t xml:space="preserve">趁这会儿，我把大家这六天五晚的自费账单对一下，那个，有问题现在就提。</t>
  </si>
  <si>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晚</t>
    </r>
  </si>
  <si>
    <t xml:space="preserve">先从前排开始。大哥大姐，您二位的单子在这儿。</t>
  </si>
  <si>
    <t xml:space="preserve">（走到前排）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</si>
  <si>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</t>
    </r>
  </si>
  <si>
    <t xml:space="preserve">好，你念，我对着本子看。</t>
  </si>
  <si>
    <t xml:space="preserve">（拿出笔记本）</t>
  </si>
  <si>
    <t xml:space="preserve">第一天在昆明，你们预交了一千二。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</si>
  <si>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天；</t>
    </r>
    <r>
      <rPr>
        <sz val="10"/>
        <color rgb="FF000000"/>
        <rFont val="微软雅黑"/>
        <family val="0"/>
        <charset val="1"/>
      </rPr>
      <t xml:space="preserve">1200</t>
    </r>
    <r>
      <rPr>
        <sz val="10"/>
        <color rgb="FF000000"/>
        <rFont val="Noto Sans CJK SC"/>
        <family val="2"/>
      </rPr>
      <t xml:space="preserve">元</t>
    </r>
  </si>
  <si>
    <t xml:space="preserve">昆明；预交</t>
  </si>
  <si>
    <t xml:space="preserve">十月十四号骑马，每人二百，两位四百；十五号游船，每人一百二，两位二百四。</t>
  </si>
  <si>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微软雅黑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微软雅黑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240</t>
    </r>
    <r>
      <rPr>
        <sz val="10"/>
        <color rgb="FF000000"/>
        <rFont val="Noto Sans CJK SC"/>
        <family val="2"/>
      </rPr>
      <t xml:space="preserve">元</t>
    </r>
  </si>
  <si>
    <t xml:space="preserve">对，四百，二百四，跟我本子上一样。</t>
  </si>
  <si>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240</t>
    </r>
    <r>
      <rPr>
        <sz val="10"/>
        <color rgb="FF000000"/>
        <rFont val="Noto Sans CJK SC"/>
        <family val="2"/>
      </rPr>
      <t xml:space="preserve">元</t>
    </r>
  </si>
  <si>
    <t xml:space="preserve">十六号晚上泡温泉，每人一百六十八，两位三百三十六。</t>
  </si>
  <si>
    <r>
      <rPr>
        <sz val="10"/>
        <color rgb="FF000000"/>
        <rFont val="微软雅黑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微软雅黑"/>
        <family val="0"/>
        <charset val="1"/>
      </rPr>
      <t xml:space="preserve">168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336</t>
    </r>
    <r>
      <rPr>
        <sz val="10"/>
        <color rgb="FF000000"/>
        <rFont val="Noto Sans CJK SC"/>
        <family val="2"/>
      </rPr>
      <t xml:space="preserve">元</t>
    </r>
  </si>
  <si>
    <t xml:space="preserve">等等，温泉那天你在车上说的是打九折。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</si>
  <si>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折</t>
    </r>
  </si>
  <si>
    <t xml:space="preserve">九折是满十个人才有，那天报名的只有九个人，没够。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</si>
  <si>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人</t>
    </r>
  </si>
  <si>
    <t xml:space="preserve">你当时说的是报了就九折，没说要满十个人，车上好些人都听见了。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</si>
  <si>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人</t>
    </r>
  </si>
  <si>
    <t xml:space="preserve">这个是我没说清楚，是我的问题。</t>
  </si>
  <si>
    <t xml:space="preserve">按九折算，一百六十八就是一百五十一块二，两个人三百零二块四。</t>
  </si>
  <si>
    <t xml:space="preserve">（按手机计算器）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</si>
  <si>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168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151.2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302.4</t>
    </r>
    <r>
      <rPr>
        <sz val="10"/>
        <color rgb="FF000000"/>
        <rFont val="Noto Sans CJK SC"/>
        <family val="2"/>
      </rPr>
      <t xml:space="preserve">元</t>
    </r>
  </si>
  <si>
    <t xml:space="preserve">跟三百三十六一比，差了三十三块六。</t>
  </si>
  <si>
    <r>
      <rPr>
        <sz val="10"/>
        <color rgb="FF000000"/>
        <rFont val="微软雅黑"/>
        <family val="0"/>
        <charset val="1"/>
      </rPr>
      <t xml:space="preserve">336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33.6</t>
    </r>
    <r>
      <rPr>
        <sz val="10"/>
        <color rgb="FF000000"/>
        <rFont val="Noto Sans CJK SC"/>
        <family val="2"/>
      </rPr>
      <t xml:space="preserve">元</t>
    </r>
  </si>
  <si>
    <t xml:space="preserve">嗯，差三十三块六。这个我回去跟公司申请，批下来就退给您。</t>
  </si>
  <si>
    <r>
      <rPr>
        <sz val="10"/>
        <color rgb="FF000000"/>
        <rFont val="微软雅黑"/>
        <family val="0"/>
        <charset val="1"/>
      </rPr>
      <t xml:space="preserve">33.6</t>
    </r>
    <r>
      <rPr>
        <sz val="10"/>
        <color rgb="FF000000"/>
        <rFont val="Noto Sans CJK SC"/>
        <family val="2"/>
      </rPr>
      <t xml:space="preserve">元</t>
    </r>
  </si>
  <si>
    <t xml:space="preserve">再往下，十七号的篝火晚会，每人八十，两位一百六。</t>
  </si>
  <si>
    <r>
      <rPr>
        <sz val="10"/>
        <color rgb="FF000000"/>
        <rFont val="微软雅黑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微软雅黑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160</t>
    </r>
    <r>
      <rPr>
        <sz val="10"/>
        <color rgb="FF000000"/>
        <rFont val="Noto Sans CJK SC"/>
        <family val="2"/>
      </rPr>
      <t xml:space="preserve">元</t>
    </r>
  </si>
  <si>
    <t xml:space="preserve">篝火晚会那天晚上下雨，不是临时取消了吗？</t>
  </si>
  <si>
    <t xml:space="preserve">哎，对对，取消了，这一百六不该收，我划掉。</t>
  </si>
  <si>
    <t xml:space="preserve">（翻看账单）</t>
  </si>
  <si>
    <r>
      <rPr>
        <sz val="10"/>
        <color rgb="FF000000"/>
        <rFont val="微软雅黑"/>
        <family val="0"/>
        <charset val="1"/>
      </rPr>
      <t xml:space="preserve">160</t>
    </r>
    <r>
      <rPr>
        <sz val="10"/>
        <color rgb="FF000000"/>
        <rFont val="Noto Sans CJK SC"/>
        <family val="2"/>
      </rPr>
      <t xml:space="preserve">元</t>
    </r>
  </si>
  <si>
    <t xml:space="preserve">最后是旅拍，就大姐拍了，三百九十九。</t>
  </si>
  <si>
    <r>
      <rPr>
        <sz val="10"/>
        <color rgb="FF000000"/>
        <rFont val="微软雅黑"/>
        <family val="0"/>
        <charset val="1"/>
      </rPr>
      <t xml:space="preserve">399</t>
    </r>
    <r>
      <rPr>
        <sz val="10"/>
        <color rgb="FF000000"/>
        <rFont val="Noto Sans CJK SC"/>
        <family val="2"/>
      </rPr>
      <t xml:space="preserve">元</t>
    </r>
  </si>
  <si>
    <t xml:space="preserve">旅拍</t>
  </si>
  <si>
    <t xml:space="preserve">那我算一下总数：四百、二百四、三百三十六、三百九十九，一共是……一千三百七十五。</t>
  </si>
  <si>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240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336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399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1375</t>
    </r>
    <r>
      <rPr>
        <sz val="10"/>
        <color rgb="FF000000"/>
        <rFont val="Noto Sans CJK SC"/>
        <family val="2"/>
      </rPr>
      <t xml:space="preserve">元</t>
    </r>
  </si>
  <si>
    <t xml:space="preserve">对，一千三百七十五，减掉预交的一千二，还要补一百七十五。</t>
  </si>
  <si>
    <r>
      <rPr>
        <sz val="10"/>
        <color rgb="FF000000"/>
        <rFont val="微软雅黑"/>
        <family val="0"/>
        <charset val="1"/>
      </rPr>
      <t xml:space="preserve">1375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1200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元</t>
    </r>
  </si>
  <si>
    <t xml:space="preserve">预交</t>
  </si>
  <si>
    <t xml:space="preserve">要是按九折，就该补一百四十一块四，四毛钱就算了。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</si>
  <si>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141.4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元</t>
    </r>
  </si>
  <si>
    <t xml:space="preserve">大姐，九折我现在做不了主，今天先按一百七十五收，公司批了，三十三块六一分不少退给您。</t>
  </si>
  <si>
    <r>
      <rPr>
        <sz val="10"/>
        <color rgb="FF000000"/>
        <rFont val="微软雅黑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折；</t>
    </r>
    <r>
      <rPr>
        <sz val="10"/>
        <color rgb="FF000000"/>
        <rFont val="微软雅黑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33.6</t>
    </r>
    <r>
      <rPr>
        <sz val="10"/>
        <color rgb="FF000000"/>
        <rFont val="Noto Sans CJK SC"/>
        <family val="2"/>
      </rPr>
      <t xml:space="preserve">元</t>
    </r>
  </si>
  <si>
    <t xml:space="preserve">那行，钱我先交。不过有几个号码我得记一下，回去打幺二三零幺问问，到底该咋个算。</t>
  </si>
  <si>
    <t xml:space="preserve">可以可以，您问，这是您的权利。</t>
  </si>
  <si>
    <t xml:space="preserve">陈导，先说你的导游证号。</t>
  </si>
  <si>
    <t xml:space="preserve">（拿起笔）</t>
  </si>
  <si>
    <t xml:space="preserve">陈导；导游证号</t>
  </si>
  <si>
    <r>
      <rPr>
        <sz val="10"/>
        <color rgb="FF000000"/>
        <rFont val="微软雅黑"/>
        <family val="0"/>
        <charset val="1"/>
      </rPr>
      <t xml:space="preserve">YN</t>
    </r>
    <r>
      <rPr>
        <sz val="10"/>
        <color rgb="FF000000"/>
        <rFont val="Noto Sans CJK SC"/>
        <family val="2"/>
      </rPr>
      <t xml:space="preserve">，零零零零，三七二一。</t>
    </r>
  </si>
  <si>
    <t xml:space="preserve">YN-0000-3721</t>
  </si>
  <si>
    <r>
      <rPr>
        <sz val="10"/>
        <color rgb="FF000000"/>
        <rFont val="微软雅黑"/>
        <family val="0"/>
        <charset val="1"/>
      </rPr>
      <t xml:space="preserve">YN</t>
    </r>
    <r>
      <rPr>
        <sz val="10"/>
        <color rgb="FF000000"/>
        <rFont val="Noto Sans CJK SC"/>
        <family val="2"/>
      </rPr>
      <t xml:space="preserve">，四个零，三七二幺，是这个吧？</t>
    </r>
  </si>
  <si>
    <t xml:space="preserve">（边写边念）</t>
  </si>
  <si>
    <t xml:space="preserve">对。旅行社电话是零八七一 零零零零 六六八八，拾光滇程旅行社。</t>
  </si>
  <si>
    <t xml:space="preserve">0871-0000-6688</t>
  </si>
  <si>
    <t xml:space="preserve">拾光滇程旅行社</t>
  </si>
  <si>
    <t xml:space="preserve">零八七幺，四个零，然后是两个六两个八？</t>
  </si>
  <si>
    <t xml:space="preserve">对，六六八八。</t>
  </si>
  <si>
    <t xml:space="preserve">6688</t>
  </si>
  <si>
    <t xml:space="preserve">合同编号呢？我们那份合同没带在身上。</t>
  </si>
  <si>
    <r>
      <rPr>
        <sz val="10"/>
        <color rgb="FF000000"/>
        <rFont val="Noto Sans CJK SC"/>
        <family val="2"/>
      </rPr>
      <t xml:space="preserve">合同编号是 </t>
    </r>
    <r>
      <rPr>
        <sz val="10"/>
        <color rgb="FF000000"/>
        <rFont val="微软雅黑"/>
        <family val="0"/>
        <charset val="1"/>
      </rPr>
      <t xml:space="preserve">HT </t>
    </r>
    <r>
      <rPr>
        <sz val="10"/>
        <color rgb="FF000000"/>
        <rFont val="Noto Sans CJK SC"/>
        <family val="2"/>
      </rPr>
      <t xml:space="preserve">杠 二零二六零零零零 杠 一一八。</t>
    </r>
  </si>
  <si>
    <r>
      <rPr>
        <sz val="10"/>
        <color rgb="FF000000"/>
        <rFont val="微软雅黑"/>
        <family val="0"/>
        <charset val="1"/>
      </rPr>
      <t xml:space="preserve">HT</t>
    </r>
    <r>
      <rPr>
        <sz val="10"/>
        <color rgb="FF000000"/>
        <rFont val="Noto Sans CJK SC"/>
        <family val="2"/>
      </rPr>
      <t xml:space="preserve">，二零二六，四个零，幺幺八。</t>
    </r>
  </si>
  <si>
    <r>
      <rPr>
        <sz val="10"/>
        <color rgb="FF000000"/>
        <rFont val="Noto Sans CJK SC"/>
        <family val="2"/>
      </rPr>
      <t xml:space="preserve">还有订单号，账单上印着呢，我念啊：</t>
    </r>
    <r>
      <rPr>
        <sz val="10"/>
        <color rgb="FF000000"/>
        <rFont val="微软雅黑"/>
        <family val="0"/>
        <charset val="1"/>
      </rPr>
      <t xml:space="preserve">DD </t>
    </r>
    <r>
      <rPr>
        <sz val="10"/>
        <color rgb="FF000000"/>
        <rFont val="Noto Sans CJK SC"/>
        <family val="2"/>
      </rPr>
      <t xml:space="preserve">零零零零 五五六六。</t>
    </r>
  </si>
  <si>
    <t xml:space="preserve">DD-0000-5566</t>
  </si>
  <si>
    <t xml:space="preserve">订单号</t>
  </si>
  <si>
    <r>
      <rPr>
        <sz val="10"/>
        <color rgb="FF000000"/>
        <rFont val="Noto Sans CJK SC"/>
        <family val="2"/>
      </rPr>
      <t xml:space="preserve">对，</t>
    </r>
    <r>
      <rPr>
        <sz val="10"/>
        <color rgb="FF000000"/>
        <rFont val="微软雅黑"/>
        <family val="0"/>
        <charset val="1"/>
      </rPr>
      <t xml:space="preserve">DD </t>
    </r>
    <r>
      <rPr>
        <sz val="10"/>
        <color rgb="FF000000"/>
        <rFont val="Noto Sans CJK SC"/>
        <family val="2"/>
      </rPr>
      <t xml:space="preserve">杠 四个零 杠 五五六六，就是这个。</t>
    </r>
  </si>
  <si>
    <t xml:space="preserve">打一二三零一不行的话，打一二三四五也可以。</t>
  </si>
  <si>
    <r>
      <rPr>
        <sz val="10"/>
        <color rgb="FF000000"/>
        <rFont val="微软雅黑"/>
        <family val="0"/>
        <charset val="1"/>
      </rPr>
      <t xml:space="preserve">12301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12345</t>
    </r>
  </si>
  <si>
    <t xml:space="preserve">都可以。大哥，您直接打我们旅行社电话也行，我回去也会一五一十跟公司说清楚。</t>
  </si>
  <si>
    <t xml:space="preserve">好，那今天先补一百七十五，你给我写个收条，写上十月十八号。</t>
  </si>
  <si>
    <r>
      <rPr>
        <sz val="10"/>
        <color rgb="FF000000"/>
        <rFont val="微软雅黑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微软雅黑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日</t>
    </r>
  </si>
  <si>
    <t xml:space="preserve">好，收条上写：今收到一百七十五元整，二零二六年十月十八日，后面再写上我的导游证号。</t>
  </si>
  <si>
    <t xml:space="preserve">（低头写收条）</t>
  </si>
  <si>
    <r>
      <rPr>
        <sz val="10"/>
        <color rgb="FF000000"/>
        <rFont val="微软雅黑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微软雅黑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日</t>
    </r>
  </si>
  <si>
    <t xml:space="preserve">导游证号</t>
  </si>
  <si>
    <t xml:space="preserve">一百七十五，转过去了。</t>
  </si>
  <si>
    <t xml:space="preserve">（扫码付款）</t>
  </si>
  <si>
    <r>
      <rPr>
        <sz val="10"/>
        <color rgb="FF000000"/>
        <rFont val="微软雅黑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元</t>
    </r>
  </si>
  <si>
    <t xml:space="preserve">收到了。差价那三十三块六，公司批了以后，一般七个工作日到账。</t>
  </si>
  <si>
    <r>
      <rPr>
        <sz val="10"/>
        <color rgb="FF000000"/>
        <rFont val="微软雅黑"/>
        <family val="0"/>
        <charset val="1"/>
      </rPr>
      <t xml:space="preserve">33.6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个工作日</t>
    </r>
  </si>
  <si>
    <t xml:space="preserve">服务区到了，停十五分钟，三点五十准时开车，大家贵重物品随身带好。</t>
  </si>
  <si>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15:50</t>
    </r>
  </si>
  <si>
    <t xml:space="preserve">到昆明大概四点四十，下车前大家把账单收好。</t>
  </si>
  <si>
    <t xml:space="preserve">16:40</t>
  </si>
  <si>
    <t xml:space="preserve">昆明</t>
  </si>
  <si>
    <t xml:space="preserve">号码都记齐了，回去先打电话问问，九折到底算不算。</t>
  </si>
  <si>
    <t xml:space="preserve">各位朋友，下午好！咱们从大理出发，往丽江走，路上时间长，我先跟大家聊几句。</t>
  </si>
  <si>
    <t xml:space="preserve">大理；丽江</t>
  </si>
  <si>
    <t xml:space="preserve">我是雾隐行舟旅行社的老导游，大家叫我杨导就行，在雾隐行舟带团带了快二十年了。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</si>
  <si>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年</t>
    </r>
  </si>
  <si>
    <t xml:space="preserve">雾隐行舟旅行社；杨导；雾隐行舟</t>
  </si>
  <si>
    <t xml:space="preserve">快二十年，那是老资格了。杨导辛苦！</t>
  </si>
  <si>
    <t xml:space="preserve">杨导</t>
  </si>
  <si>
    <t xml:space="preserve">不辛苦。跟大家说句实在话，我老家就在普洱，家里有几片茶山，种的全是古树茶。</t>
  </si>
  <si>
    <t xml:space="preserve">普洱；古树茶</t>
  </si>
  <si>
    <t xml:space="preserve">今天呢，我带了点自家做的普洱茶，牌子叫百年茶语，给大家尝一尝，不买没关系。</t>
  </si>
  <si>
    <t xml:space="preserve">（一边说一边给前排游客分小纸杯）</t>
  </si>
  <si>
    <t xml:space="preserve">普洱茶；百年茶语</t>
  </si>
  <si>
    <t xml:space="preserve">百年茶叶？这牌子没听说过。</t>
  </si>
  <si>
    <t xml:space="preserve">百年茶叶</t>
  </si>
  <si>
    <t xml:space="preserve">不是茶叶，是茶语，说话那个语，百年茶语。</t>
  </si>
  <si>
    <t xml:space="preserve">茶语；百年茶语</t>
  </si>
  <si>
    <t xml:space="preserve">嗯，味道挺醇的。杨导，这个是生普还是熟普啊？</t>
  </si>
  <si>
    <t xml:space="preserve">（喝了一口）</t>
  </si>
  <si>
    <t xml:space="preserve">杨导；生普；熟普</t>
  </si>
  <si>
    <t xml:space="preserve">您手上这杯是熟普，颜色红亮，喝着顺口。等会儿再尝尝生普，那个清爽，回甘也好。</t>
  </si>
  <si>
    <t xml:space="preserve">熟普；生普</t>
  </si>
  <si>
    <t xml:space="preserve">前面弯道多，站着的朋友先坐下啊。</t>
  </si>
  <si>
    <t xml:space="preserve">好嘞，听师傅的，大家坐稳了再喝。</t>
  </si>
  <si>
    <t xml:space="preserve">那这个熟普怎么卖啊？</t>
  </si>
  <si>
    <t xml:space="preserve">熟普每饼三百五十七克，外面卖六百八，今天车上的朋友就收四百八。生普也是古树茶，贵一点，要一千二。</t>
  </si>
  <si>
    <r>
      <rPr>
        <sz val="10"/>
        <color rgb="FF000000"/>
        <rFont val="微软雅黑"/>
        <family val="0"/>
        <charset val="1"/>
      </rPr>
      <t xml:space="preserve">357</t>
    </r>
    <r>
      <rPr>
        <sz val="10"/>
        <color rgb="FF000000"/>
        <rFont val="Noto Sans CJK SC"/>
        <family val="2"/>
      </rPr>
      <t xml:space="preserve">克；</t>
    </r>
    <r>
      <rPr>
        <sz val="10"/>
        <color rgb="FF000000"/>
        <rFont val="微软雅黑"/>
        <family val="0"/>
        <charset val="1"/>
      </rPr>
      <t xml:space="preserve">680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1200</t>
    </r>
    <r>
      <rPr>
        <sz val="10"/>
        <color rgb="FF000000"/>
        <rFont val="Noto Sans CJK SC"/>
        <family val="2"/>
      </rPr>
      <t xml:space="preserve">元</t>
    </r>
  </si>
  <si>
    <t xml:space="preserve">熟普；生普；古树茶</t>
  </si>
  <si>
    <t xml:space="preserve">四百八也不便宜啊。我们在昆明逛的时候，差不多的熟普才两百多。</t>
  </si>
  <si>
    <r>
      <rPr>
        <sz val="10"/>
        <color rgb="FF000000"/>
        <rFont val="微软雅黑"/>
        <family val="0"/>
        <charset val="1"/>
      </rPr>
      <t xml:space="preserve">480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多元</t>
    </r>
  </si>
  <si>
    <t xml:space="preserve">昆明；熟普</t>
  </si>
  <si>
    <t xml:space="preserve">大姐，那不一样。外面多半是普通茶园的，咱们这是正宗古树茶，茶山在普洱，挨着西双版纳。</t>
  </si>
  <si>
    <t xml:space="preserve">古树茶；普洱；西双版纳</t>
  </si>
  <si>
    <t xml:space="preserve">杨导，你说是自己家的茶，那怎么还有个牌子呢？</t>
  </si>
  <si>
    <t xml:space="preserve">哎，百年茶语就是我们自家注册的牌子嘛。自己种、自己做、自己卖，价格才实在。</t>
  </si>
  <si>
    <t xml:space="preserve">百年茶语</t>
  </si>
  <si>
    <t xml:space="preserve">去年我们跟松风晚渡旅行社去西双版纳，人家那个导游，一路上啥也没卖。</t>
  </si>
  <si>
    <t xml:space="preserve">（压低声音对游客甲说）</t>
  </si>
  <si>
    <t xml:space="preserve">松风晚渡旅行社；西双版纳</t>
  </si>
  <si>
    <t xml:space="preserve">松风……松风行舟是吧？</t>
  </si>
  <si>
    <t xml:space="preserve">松风；松风行舟</t>
  </si>
  <si>
    <t xml:space="preserve">什么松风行舟，是松风晚渡！雾隐行舟是现在这家，你把两家搞混了。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</si>
  <si>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家</t>
    </r>
  </si>
  <si>
    <t xml:space="preserve">松风行舟；松风晚渡；雾隐行舟</t>
  </si>
  <si>
    <t xml:space="preserve">对对，大姐记性好。松风是松风，咱们雾隐这边，就是想让大家带点真东西回去。</t>
  </si>
  <si>
    <t xml:space="preserve">（听到了，笑着接话）</t>
  </si>
  <si>
    <t xml:space="preserve">松风；松风；雾隐</t>
  </si>
  <si>
    <t xml:space="preserve">杨导，前面服务区要停一下，车要加水。</t>
  </si>
  <si>
    <t xml:space="preserve">要得。各位，前面服务区停二十分钟，下午三点十分准时上车啊。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</si>
  <si>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15:10</t>
    </r>
  </si>
  <si>
    <t xml:space="preserve">趁还没到，大家看看要不要带点茶回去。买两饼熟普，我再送一盒鲜花饼。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</si>
  <si>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饼；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盒</t>
    </r>
  </si>
  <si>
    <t xml:space="preserve">熟普；鲜花饼</t>
  </si>
  <si>
    <t xml:space="preserve">老伴儿，要不买一饼熟普尝尝？我觉得味道真不错。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</si>
  <si>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饼</t>
    </r>
  </si>
  <si>
    <t xml:space="preserve">你急什么，到了丽江、束河，茶叶店多的是，比一比再说。</t>
  </si>
  <si>
    <t xml:space="preserve">丽江；束河</t>
  </si>
  <si>
    <t xml:space="preserve">大姐，外面的店您不知道底细。大家多少支持一下我的工作，后面到丽江、束河的安排，我也好协调得周到一点。</t>
  </si>
  <si>
    <t xml:space="preserve">（语气放慢）</t>
  </si>
  <si>
    <t xml:space="preserve">杨导，这话就不对了。买不买茶，跟后面的安排有啥关系？</t>
  </si>
  <si>
    <t xml:space="preserve">没关系没关系，大姐别误会，我就是随口一说，买不买都是自愿的。</t>
  </si>
  <si>
    <t xml:space="preserve">杨导，那熟普四百八，能不能再少点？三百八……不是，我是说四百，四百我就拿一饼。</t>
  </si>
  <si>
    <r>
      <rPr>
        <sz val="10"/>
        <color rgb="FF000000"/>
        <rFont val="微软雅黑"/>
        <family val="0"/>
        <charset val="1"/>
      </rPr>
      <t xml:space="preserve">480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饼</t>
    </r>
  </si>
  <si>
    <t xml:space="preserve">杨导；熟普</t>
  </si>
  <si>
    <t xml:space="preserve">四百……哎呀，这个价我真没赚头。看大哥爽快，四百二，鲜花饼照样送一盒。</t>
  </si>
  <si>
    <r>
      <rPr>
        <sz val="10"/>
        <color rgb="FF000000"/>
        <rFont val="微软雅黑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盒</t>
    </r>
  </si>
  <si>
    <t xml:space="preserve">四百二就四百二。那个生普就算了，一千二的古树茶，喝着心疼。</t>
  </si>
  <si>
    <r>
      <rPr>
        <sz val="10"/>
        <color rgb="FF000000"/>
        <rFont val="微软雅黑"/>
        <family val="0"/>
        <charset val="1"/>
      </rPr>
      <t xml:space="preserve">420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420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1200</t>
    </r>
    <r>
      <rPr>
        <sz val="10"/>
        <color rgb="FF000000"/>
        <rFont val="Noto Sans CJK SC"/>
        <family val="2"/>
      </rPr>
      <t xml:space="preserve">元</t>
    </r>
  </si>
  <si>
    <t xml:space="preserve">生普；古树茶</t>
  </si>
  <si>
    <t xml:space="preserve">买可以，杨导，你得开个收据，写清楚是哪家卖的，雾隐行舟还是百年茶语。</t>
  </si>
  <si>
    <t xml:space="preserve">杨导；雾隐行舟；百年茶语</t>
  </si>
  <si>
    <t xml:space="preserve">这个……收据就写百年茶语吧，茶是茶语自己出的，跟雾隐行舟没关系。</t>
  </si>
  <si>
    <t xml:space="preserve">百年茶语；茶语；雾隐行舟</t>
  </si>
  <si>
    <t xml:space="preserve">那就是说，这茶要是有问题，雾隐那家旅行社不管？</t>
  </si>
  <si>
    <t xml:space="preserve">雾隐那家旅行社</t>
  </si>
  <si>
    <t xml:space="preserve">管，肯定管！有问题随时找我，我杨导在雾隐行舟干了快二十年，跑不了的。</t>
  </si>
  <si>
    <t xml:space="preserve">杨导；雾隐行舟</t>
  </si>
  <si>
    <t xml:space="preserve">行吧。回去喝着要是跟昆明两百多的一个样，我可要打一二三零一。</t>
  </si>
  <si>
    <r>
      <rPr>
        <sz val="10"/>
        <color rgb="FF000000"/>
        <rFont val="微软雅黑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多元；</t>
    </r>
    <r>
      <rPr>
        <sz val="10"/>
        <color rgb="FF000000"/>
        <rFont val="微软雅黑"/>
        <family val="0"/>
        <charset val="1"/>
      </rPr>
      <t xml:space="preserve">12301</t>
    </r>
  </si>
  <si>
    <t xml:space="preserve">要得要得，欢迎大家随时监督。</t>
  </si>
  <si>
    <t xml:space="preserve">服务区到了啊，大家拿好随身物品，注意脚下。</t>
  </si>
  <si>
    <t xml:space="preserve">大家记住，下午三点十分，还是这辆车，车门边上插着雾隐行舟的小旗子。</t>
  </si>
  <si>
    <t xml:space="preserve">15:10</t>
  </si>
  <si>
    <t xml:space="preserve">雾隐行舟</t>
  </si>
  <si>
    <t xml:space="preserve">来来来，雾隐行舟的朋友们，都往我这边靠一靠！咱们到景区门口了。</t>
  </si>
  <si>
    <t xml:space="preserve">（举着小旗，提高音量）</t>
  </si>
  <si>
    <t xml:space="preserve">雾隐行舟？杨导，我们报的不是松风晚渡旅行社的团吗？</t>
  </si>
  <si>
    <t xml:space="preserve">雾隐行舟；杨导；松风晚渡旅行社</t>
  </si>
  <si>
    <t xml:space="preserve">对，松风晚渡是组团社，在昆明跟大家签的合同；我们雾隐行舟旅行社是地接社，大理、丽江这一段，都归我们接待。</t>
  </si>
  <si>
    <t xml:space="preserve">松风晚渡；昆明；雾隐行舟旅行社；大理；丽江</t>
  </si>
  <si>
    <t xml:space="preserve">哦，就是松风那家把我们交给了雾隐晚渡。</t>
  </si>
  <si>
    <t xml:space="preserve">松风那家；雾隐晚渡</t>
  </si>
  <si>
    <t xml:space="preserve">雾隐行舟，不是雾隐晚渡。人家那家叫松风晚渡，两家名字是有点像。</t>
  </si>
  <si>
    <t xml:space="preserve">雾隐行舟；雾隐晚渡；松风晚渡</t>
  </si>
  <si>
    <t xml:space="preserve">好，门票我已经统一买好了，发门票之前呢，跟大家说个事儿。</t>
  </si>
  <si>
    <t xml:space="preserve">按照惯例，咱们每位交一百块服务费，我这边统一收一下，现金、扫码都行。</t>
  </si>
  <si>
    <t xml:space="preserve">一百块？我们单位这次来了十二个人，那就是一千二了。</t>
  </si>
  <si>
    <r>
      <rPr>
        <sz val="10"/>
        <color rgb="FF000000"/>
        <rFont val="微软雅黑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人；</t>
    </r>
    <r>
      <rPr>
        <sz val="10"/>
        <color rgb="FF000000"/>
        <rFont val="微软雅黑"/>
        <family val="0"/>
        <charset val="1"/>
      </rPr>
      <t xml:space="preserve">1200</t>
    </r>
    <r>
      <rPr>
        <sz val="10"/>
        <color rgb="FF000000"/>
        <rFont val="Noto Sans CJK SC"/>
        <family val="2"/>
      </rPr>
      <t xml:space="preserve">元</t>
    </r>
  </si>
  <si>
    <t xml:space="preserve">服务费？杨导，这个服务费，说白了是不是就是小费啊？</t>
  </si>
  <si>
    <t xml:space="preserve">哎，也不能这么说。这一百块不白交，一路给大家讲解、拍照，晚上还请大家喝古树茶，普洱那边带过来的。</t>
  </si>
  <si>
    <t xml:space="preserve">古树茶；普洱</t>
  </si>
  <si>
    <t xml:space="preserve">还有，后天去束河，在晓月银坊买东西，报我杨导的名字，能打九折。</t>
  </si>
  <si>
    <t xml:space="preserve">束河；晓月银坊；杨导</t>
  </si>
  <si>
    <t xml:space="preserve">晓月什么？我们也没说要买银器啊。</t>
  </si>
  <si>
    <t xml:space="preserve">晓月</t>
  </si>
  <si>
    <t xml:space="preserve">等一下，报名是我经手的，松风晚渡发的电子合同，我存在手机里了。</t>
  </si>
  <si>
    <t xml:space="preserve">（低头翻手机）</t>
  </si>
  <si>
    <t xml:space="preserve">松风晚渡</t>
  </si>
  <si>
    <t xml:space="preserve">你们听啊：团费包含景点首道门票、住宿、团餐，还有导游服务费。</t>
  </si>
  <si>
    <t xml:space="preserve">（照着手机念）</t>
  </si>
  <si>
    <t xml:space="preserve">听见没有？导游服务费已经包含在团费里了，每人三千八，我们早就交过了。</t>
  </si>
  <si>
    <t xml:space="preserve">合同上那个是导服费，就是说，是松风晚渡跟我们雾隐行舟结算的。我说的是给我个人的服务费，两码事。</t>
  </si>
  <si>
    <t xml:space="preserve">松风晚渡；雾隐行舟</t>
  </si>
  <si>
    <t xml:space="preserve">那合同里有没有写，还要另外交个人服务费？</t>
  </si>
  <si>
    <t xml:space="preserve">合同里是没写，但我们这行一直都是这个惯例，大家出来玩，图个开心嘛。</t>
  </si>
  <si>
    <t xml:space="preserve">合同里没写的，就不该收。</t>
  </si>
  <si>
    <t xml:space="preserve">算了吧，一百块钱，给就给了，别闹得大家不愉快。</t>
  </si>
  <si>
    <t xml:space="preserve">（小声对游客乙说）</t>
  </si>
  <si>
    <t xml:space="preserve">不是钱多钱少的问题。去年我们去西双版纳，也是报的松风晚渡，那边的导游可没多收过钱。</t>
  </si>
  <si>
    <t xml:space="preserve">西双版纳；松风晚渡</t>
  </si>
  <si>
    <t xml:space="preserve">西双版纳那边是那边嘛。大家出来玩，和和气气的，后面丽江、束河的行程，我也好给大家安排得顺当一点。</t>
  </si>
  <si>
    <t xml:space="preserve">西双版纳；丽江；束河</t>
  </si>
  <si>
    <t xml:space="preserve">杨导，你这话什么意思？不交服务费，后面就不顺当了？</t>
  </si>
  <si>
    <t xml:space="preserve">不是不是，您误会了！行程肯定按合同走，大理、丽江、束河，哪个景点都不会少。</t>
  </si>
  <si>
    <t xml:space="preserve">大理；丽江；束河</t>
  </si>
  <si>
    <t xml:space="preserve">那这个服务费，到底是必须交，还是自愿交？</t>
  </si>
  <si>
    <t xml:space="preserve">这个……原则上是自愿，但一般大家都会交。</t>
  </si>
  <si>
    <t xml:space="preserve">原则上自愿，那我就不交了。实在说不清，我们就打一二三零一问问。</t>
  </si>
  <si>
    <t xml:space="preserve">对，要不然直接找松风晚渡，向旅行社投诉，合同上就印着他们的电话。</t>
  </si>
  <si>
    <t xml:space="preserve">莫急莫急，不用打，不用打！自愿的，真的是自愿的，不交也没关系。</t>
  </si>
  <si>
    <t xml:space="preserve">（连忙摆手）</t>
  </si>
  <si>
    <t xml:space="preserve">刚才是我没说清楚，给大家道个歉。服务费的事，就当我没提。</t>
  </si>
  <si>
    <t xml:space="preserve">这样就好嘛。杨导，我们也不是不讲理，合同里写了的，我们都认。</t>
  </si>
  <si>
    <t xml:space="preserve">那晚上的古树茶还请不请？别到时候又说要另外收钱。</t>
  </si>
  <si>
    <t xml:space="preserve">请，照样请！普洱茶管够，还有鲜花饼，都不收钱。</t>
  </si>
  <si>
    <t xml:space="preserve">普洱茶；鲜花饼</t>
  </si>
  <si>
    <t xml:space="preserve">那还差不多。杨导，那你把门票发一下吧。</t>
  </si>
  <si>
    <t xml:space="preserve">好，每人一张，拿好了。进去以后自由活动，上午十一点半还在这个门口集合，吃完午饭去喜洲。</t>
  </si>
  <si>
    <t xml:space="preserve">（一边发门票一边说）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</si>
  <si>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张；</t>
    </r>
    <r>
      <rPr>
        <sz val="10"/>
        <color rgb="FF000000"/>
        <rFont val="微软雅黑"/>
        <family val="0"/>
        <charset val="1"/>
      </rPr>
      <t xml:space="preserve">11:30</t>
    </r>
  </si>
  <si>
    <t xml:space="preserve">喜洲</t>
  </si>
  <si>
    <t xml:space="preserve">里面人多，大家看好随身物品。认准这面旗子，上面写着雾隐行舟，别跟着松风……别跟着别的团走了啊。</t>
  </si>
  <si>
    <t xml:space="preserve">雾隐行舟；松风</t>
  </si>
  <si>
    <t xml:space="preserve">雾隐行舟，十一点半，记住了。</t>
  </si>
  <si>
    <t xml:space="preserve">11:30</t>
  </si>
  <si>
    <t xml:space="preserve">来，先喝口普洱茶，菜马上就上。今天在丽江古城逛累了吧？</t>
  </si>
  <si>
    <t xml:space="preserve">（给大家倒茶）</t>
  </si>
  <si>
    <t xml:space="preserve">普洱茶；丽江</t>
  </si>
  <si>
    <t xml:space="preserve">还行还行。杨导，明天上午是去束河吧？</t>
  </si>
  <si>
    <t xml:space="preserve">杨导；束河</t>
  </si>
  <si>
    <t xml:space="preserve">对，明天上午去束河，下午自由活动。哎，听说你们俩是专门来拍婚纱照的？</t>
  </si>
  <si>
    <t xml:space="preserve">束河</t>
  </si>
  <si>
    <t xml:space="preserve">是啊，年底办酒，先出来玩玩。</t>
  </si>
  <si>
    <t xml:space="preserve">（笑）</t>
  </si>
  <si>
    <t xml:space="preserve">那可得好好挑件纪念品。结婚嘛，买个玉镯子、银手镯，戴一辈子，多有意义。</t>
  </si>
  <si>
    <t xml:space="preserve">我给你们推荐三家店。第一家，听松阁玉器行，就在丽江古城里头，专门卖玉镯子，冰种、糯种都有。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</si>
  <si>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家；第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家</t>
    </r>
  </si>
  <si>
    <t xml:space="preserve">听松阁玉器行；丽江；冰种；糯种</t>
  </si>
  <si>
    <t xml:space="preserve">杨导，冰种、糯种是啥意思啊？</t>
  </si>
  <si>
    <t xml:space="preserve">杨导；冰种；糯种</t>
  </si>
  <si>
    <t xml:space="preserve">冰种就是透亮，跟冰一样；糯种没那么透，看着润润的。</t>
  </si>
  <si>
    <t xml:space="preserve">冰种；糯种</t>
  </si>
  <si>
    <t xml:space="preserve">那另外两家呢？</t>
  </si>
  <si>
    <t xml:space="preserve">第二家，古城边上的翠微坊珠宝店，飘花的镯子特别多。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</si>
  <si>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家</t>
    </r>
  </si>
  <si>
    <t xml:space="preserve">翠微坊珠宝店；飘花</t>
  </si>
  <si>
    <t xml:space="preserve">第三家就在束河，叫晓月银坊，专门做银饰，全是足银，九九九的。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</si>
  <si>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家；</t>
    </r>
    <r>
      <rPr>
        <sz val="10"/>
        <color rgb="FF000000"/>
        <rFont val="微软雅黑"/>
        <family val="0"/>
        <charset val="1"/>
      </rPr>
      <t xml:space="preserve">999</t>
    </r>
  </si>
  <si>
    <t xml:space="preserve">束河；晓月银坊；足银；九九九</t>
  </si>
  <si>
    <t xml:space="preserve">等一下，杨导，这三家，到底哪家最正宗啊？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</si>
  <si>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家</t>
    </r>
  </si>
  <si>
    <t xml:space="preserve">要说玉器，那还是听松阁正宗，二十多年的老店了。</t>
  </si>
  <si>
    <t xml:space="preserve">听松阁</t>
  </si>
  <si>
    <t xml:space="preserve">我前几天在大理，满街都是冰种、糯种的牌子，家家都说自己是老店。</t>
  </si>
  <si>
    <t xml:space="preserve">大理；冰种；糯种</t>
  </si>
  <si>
    <t xml:space="preserve">可是那个……我在网上看，好多人说翠微坊的更正宗，价格也透明。</t>
  </si>
  <si>
    <t xml:space="preserve">翠微坊</t>
  </si>
  <si>
    <t xml:space="preserve">翠微坊也不错，就是贵。同样是冰种的镯子，听松阁一万二起，翠微坊得一万五往上。</t>
  </si>
  <si>
    <r>
      <rPr>
        <sz val="10"/>
        <color rgb="FF000000"/>
        <rFont val="微软雅黑"/>
        <family val="0"/>
        <charset val="1"/>
      </rPr>
      <t xml:space="preserve">12000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15000</t>
    </r>
    <r>
      <rPr>
        <sz val="10"/>
        <color rgb="FF000000"/>
        <rFont val="Noto Sans CJK SC"/>
        <family val="2"/>
      </rPr>
      <t xml:space="preserve">元</t>
    </r>
  </si>
  <si>
    <t xml:space="preserve">翠微坊；冰种；听松阁；翠微坊</t>
  </si>
  <si>
    <t xml:space="preserve">一万二？那也太贵了！糯种的呢？</t>
  </si>
  <si>
    <t xml:space="preserve">糯种便宜多了，带点飘花的，四千五左右，自己戴、送人都合适。</t>
  </si>
  <si>
    <r>
      <rPr>
        <sz val="10"/>
        <color rgb="FF000000"/>
        <rFont val="微软雅黑"/>
        <family val="0"/>
        <charset val="1"/>
      </rPr>
      <t xml:space="preserve">4500</t>
    </r>
    <r>
      <rPr>
        <sz val="10"/>
        <color rgb="FF000000"/>
        <rFont val="Noto Sans CJK SC"/>
        <family val="2"/>
      </rPr>
      <t xml:space="preserve">元</t>
    </r>
  </si>
  <si>
    <t xml:space="preserve">糯种；飘花</t>
  </si>
  <si>
    <t xml:space="preserve">老公，要不回头去那个听松坊，看看糯种的？</t>
  </si>
  <si>
    <t xml:space="preserve">听松坊；糯种</t>
  </si>
  <si>
    <t xml:space="preserve">什么听松坊，是听松阁！坊是翠微坊的坊，你把两家拼一块儿了。</t>
  </si>
  <si>
    <t xml:space="preserve">听松坊；听松阁；翠微坊</t>
  </si>
  <si>
    <t xml:space="preserve">我也晕了。还有那个做银饰的，叫晓月阁？</t>
  </si>
  <si>
    <t xml:space="preserve">晓月阁</t>
  </si>
  <si>
    <t xml:space="preserve">晓月银坊，银子的银，作坊的坊。阁是听松阁，别记混了。</t>
  </si>
  <si>
    <t xml:space="preserve">晓月银坊；听松阁</t>
  </si>
  <si>
    <t xml:space="preserve">我记一下啊：听松阁玉器行，翠微坊珠宝店，晓月银坊。</t>
  </si>
  <si>
    <t xml:space="preserve">（拿出手机边念边打字）</t>
  </si>
  <si>
    <t xml:space="preserve">听松阁玉器行；翠微坊珠宝店；晓月银坊</t>
  </si>
  <si>
    <t xml:space="preserve">杨导，晓月银坊那个足银，真是九九九的？</t>
  </si>
  <si>
    <t xml:space="preserve">杨导；晓月银坊；足银；九九九</t>
  </si>
  <si>
    <t xml:space="preserve">那当然，每件都打了钢印，足银九九九，假不了。</t>
  </si>
  <si>
    <t xml:space="preserve">一对足银手镯三百八，还能刻上你们俩的名字，当场就做好。</t>
  </si>
  <si>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对；</t>
    </r>
    <r>
      <rPr>
        <sz val="10"/>
        <color rgb="FF000000"/>
        <rFont val="微软雅黑"/>
        <family val="0"/>
        <charset val="1"/>
      </rPr>
      <t xml:space="preserve">380</t>
    </r>
    <r>
      <rPr>
        <sz val="10"/>
        <color rgb="FF000000"/>
        <rFont val="Noto Sans CJK SC"/>
        <family val="2"/>
      </rPr>
      <t xml:space="preserve">元</t>
    </r>
  </si>
  <si>
    <t xml:space="preserve">足银</t>
  </si>
  <si>
    <t xml:space="preserve">三百八倒还行。不过杨导，你推荐的这三家，是不是都有提成啊？</t>
  </si>
  <si>
    <r>
      <rPr>
        <sz val="10"/>
        <color rgb="FF000000"/>
        <rFont val="微软雅黑"/>
        <family val="0"/>
        <charset val="1"/>
      </rPr>
      <t xml:space="preserve">380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家</t>
    </r>
  </si>
  <si>
    <t xml:space="preserve">这个……不瞒你们说，介绍客人过去，店里多少会给点辛苦费，但东西肯定是真的。</t>
  </si>
  <si>
    <t xml:space="preserve">（停顿约两秒，笑了笑）</t>
  </si>
  <si>
    <t xml:space="preserve">那我们自己去，不说是杨导介绍的，是不是还能便宜点？</t>
  </si>
  <si>
    <t xml:space="preserve">那可不一定，报我名字才有折扣。要不这样，明天上午在束河，我先带你们去晓月银坊；下午自由活动那会儿，我再陪你们去趟翠微坊？</t>
  </si>
  <si>
    <t xml:space="preserve">束河；晓月银坊；翠微坊</t>
  </si>
  <si>
    <t xml:space="preserve">下午我们约了拍照，行程就别改了吧。</t>
  </si>
  <si>
    <t xml:space="preserve">就是。东西好不好，我们得先回去查一查，不着急。</t>
  </si>
  <si>
    <t xml:space="preserve">行行行，听你们的。不过冰种的好货不多，去晚了可能就被人挑走了。</t>
  </si>
  <si>
    <t xml:space="preserve">没事，真喜欢的话，回昆明之前再买也来得及。</t>
  </si>
  <si>
    <t xml:space="preserve">对了杨导，你说的听松阁，跟我们在喜洲路过的那家玉器店，是不是同一个老板开的？</t>
  </si>
  <si>
    <t xml:space="preserve">杨导；听松阁；喜洲</t>
  </si>
  <si>
    <t xml:space="preserve">不是的。喜洲那家我不了解，不好乱说，我推荐的就这三家。</t>
  </si>
  <si>
    <t xml:space="preserve">好，那我们回去比一比。听松阁、翠微坊、晓月银坊，我都记下来了。</t>
  </si>
  <si>
    <t xml:space="preserve">听松阁；翠微坊；晓月银坊</t>
  </si>
  <si>
    <t xml:space="preserve">要得，你们慢慢比。来来来，鲜花饼上来了，先吃饭，先吃饭。</t>
  </si>
  <si>
    <t xml:space="preserve">这个鲜花饼不错，比在昆明吃的还香。</t>
  </si>
  <si>
    <t xml:space="preserve">鲜花饼；昆明</t>
  </si>
  <si>
    <t xml:space="preserve">喜欢的话，晓月银坊隔壁就有卖鲜花饼的，明天顺手带两盒。</t>
  </si>
  <si>
    <t xml:space="preserve">晓月银坊；鲜花饼</t>
  </si>
  <si>
    <t xml:space="preserve">你看，又绕回晓月那家了。</t>
  </si>
  <si>
    <t xml:space="preserve">（小声对游客丙说）</t>
  </si>
  <si>
    <t xml:space="preserve">晓月那家</t>
  </si>
  <si>
    <t xml:space="preserve">先吃饭，回去再说。</t>
  </si>
  <si>
    <t xml:space="preserve">来来来，大家先到门口集合一下，我点个人数啊。</t>
  </si>
  <si>
    <t xml:space="preserve">（拿着小喇叭，站在玉器城门口）</t>
  </si>
  <si>
    <t xml:space="preserve">赵导，十二个人都在，一个不少。</t>
  </si>
  <si>
    <r>
      <rPr>
        <sz val="10"/>
        <color rgb="FF000000"/>
        <rFont val="微软雅黑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人</t>
    </r>
  </si>
  <si>
    <t xml:space="preserve">赵导</t>
  </si>
  <si>
    <t xml:space="preserve">好，辛苦大家。在锦程玉器城也逛了四十多分钟了，我简单说两句。</t>
  </si>
  <si>
    <r>
      <rPr>
        <sz val="10"/>
        <color rgb="FF000000"/>
        <rFont val="微软雅黑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多分钟</t>
    </r>
  </si>
  <si>
    <t xml:space="preserve">锦程玉器城</t>
  </si>
  <si>
    <t xml:space="preserve">咱们团今天这个情况，我不多讲，大家心里应该都有数。</t>
  </si>
  <si>
    <t xml:space="preserve">啥情况啊？我们就是进去看看，没看到合适的，就没买嘛。</t>
  </si>
  <si>
    <t xml:space="preserve">看看是应该的。可十二个人进去，出来手上都空空的，我回去也不太好交代。</t>
  </si>
  <si>
    <t xml:space="preserve">上午别的团在这儿，人均都过千，人家下午的安排就宽松得多。</t>
  </si>
  <si>
    <r>
      <rPr>
        <sz val="10"/>
        <color rgb="FF000000"/>
        <rFont val="微软雅黑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元</t>
    </r>
  </si>
  <si>
    <t xml:space="preserve">咱们下午石林几点进园、待多长时间，说实话，也要看上午这边的情况来排。</t>
  </si>
  <si>
    <t xml:space="preserve">赵导，你的意思是，我们买得少，下午石林就去不成了？</t>
  </si>
  <si>
    <t xml:space="preserve">赵导；石林</t>
  </si>
  <si>
    <t xml:space="preserve">不是不是，石林肯定去，行程单上写着的，大家放心。</t>
  </si>
  <si>
    <t xml:space="preserve">我是说……不是，我的意思是，去了是慢慢逛，还是转一圈就上车，那就不好讲了。</t>
  </si>
  <si>
    <t xml:space="preserve">石林门票是含在团费里的，我们是交了钱的呀。</t>
  </si>
  <si>
    <t xml:space="preserve">含的含的。可大家算算，一千三百八玩五天，吃住行全包，这个账是怎么平的？</t>
  </si>
  <si>
    <r>
      <rPr>
        <sz val="10"/>
        <color rgb="FF000000"/>
        <rFont val="微软雅黑"/>
        <family val="0"/>
        <charset val="1"/>
      </rPr>
      <t xml:space="preserve">1380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天</t>
    </r>
  </si>
  <si>
    <t xml:space="preserve">我也不是逼大家，就是提个醒，大家多少支持一下，后面的事才好办。</t>
  </si>
  <si>
    <t xml:space="preserve">各位哥哥姐姐，门口柜台也有小件，挂件、手串都有，最便宜的一百二十八。</t>
  </si>
  <si>
    <t xml:space="preserve">（从店里走到门口柜台）</t>
  </si>
  <si>
    <r>
      <rPr>
        <sz val="10"/>
        <color rgb="FF000000"/>
        <rFont val="微软雅黑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元</t>
    </r>
  </si>
  <si>
    <t xml:space="preserve">挂件；手串</t>
  </si>
  <si>
    <t xml:space="preserve">您看这个糯种平安扣，带鉴定证书，送人、自己戴都合适。</t>
  </si>
  <si>
    <t xml:space="preserve">糯种；平安扣；鉴定证书</t>
  </si>
  <si>
    <t xml:space="preserve">这个倒挺秀气的，我拿起来看看。</t>
  </si>
  <si>
    <t xml:space="preserve">标价一百六十八，团里的客人买，给您抹个零，算一百六。</t>
  </si>
  <si>
    <r>
      <rPr>
        <sz val="10"/>
        <color rgb="FF000000"/>
        <rFont val="微软雅黑"/>
        <family val="0"/>
        <charset val="1"/>
      </rPr>
      <t xml:space="preserve">168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160</t>
    </r>
    <r>
      <rPr>
        <sz val="10"/>
        <color rgb="FF000000"/>
        <rFont val="Noto Sans CJK SC"/>
        <family val="2"/>
      </rPr>
      <t xml:space="preserve">元</t>
    </r>
  </si>
  <si>
    <t xml:space="preserve">咋个整？要不咱们意思意思，买个小的，下午也省得麻烦。</t>
  </si>
  <si>
    <t xml:space="preserve">我不买。合同写得清清楚楚，购物自愿，买不买都不该影响行程。</t>
  </si>
  <si>
    <t xml:space="preserve">道理我懂，可万一下午真被压缩了，大老远跑一趟，划不来嘛。</t>
  </si>
  <si>
    <t xml:space="preserve">你别被这几句话绕进去。你想买就买，我反正一样都不买。</t>
  </si>
  <si>
    <t xml:space="preserve">这位大姐会体谅人。挑个小的也是份心意，大家都像大姐这样，下午就好商量了。</t>
  </si>
  <si>
    <t xml:space="preserve">（看见游客甲拿着平安扣，走过来）</t>
  </si>
  <si>
    <t xml:space="preserve">行，那我就要这个平安扣，麻烦帮我包一下。</t>
  </si>
  <si>
    <t xml:space="preserve">平安扣</t>
  </si>
  <si>
    <t xml:space="preserve">要得，一共一百六，这边扫码，证书给您放袋子里。</t>
  </si>
  <si>
    <t xml:space="preserve">大家再进去转十分钟，有看上的别犹豫，下午的时间，我尽量往宽了排。</t>
  </si>
  <si>
    <t xml:space="preserve">赵导，我把话说在前头，我不买东西，下午石林该怎么走，就得怎么走。</t>
  </si>
  <si>
    <t xml:space="preserve">大哥，我又没说不带你玩。大家是一个团的，好多事情是连在一起的。</t>
  </si>
  <si>
    <t xml:space="preserve">你一个人不买没关系，可要是人人都这么想，计调一看单子，下午的车我还得去磨。</t>
  </si>
  <si>
    <t xml:space="preserve">计调</t>
  </si>
  <si>
    <t xml:space="preserve">赵导，你这么说话，大家听着心里都不舒服。</t>
  </si>
  <si>
    <t xml:space="preserve">（打断导游）</t>
  </si>
  <si>
    <t xml:space="preserve">我这人说话直，有不中听的地方，大哥别往心里去。</t>
  </si>
  <si>
    <t xml:space="preserve">下午的讲解，我肯定好好讲。大家高兴，我也有劲，这就看大家给不给面子了。</t>
  </si>
  <si>
    <t xml:space="preserve">你这些话我都记下了。回去我会如实向听澜百川旅行社反映，也会打一二三零一。</t>
  </si>
  <si>
    <t xml:space="preserve">听澜百川旅行社</t>
  </si>
  <si>
    <t xml:space="preserve">反映是您的权利。我只是希望大家将心比心，趁最后十分钟再进去看看，后面几天咱们都顺顺当当的。</t>
  </si>
  <si>
    <t xml:space="preserve">好了好了，都少说两句，太阳这么大，先上车吧。</t>
  </si>
  <si>
    <t xml:space="preserve">（拉了拉游客乙的袖子）</t>
  </si>
  <si>
    <t xml:space="preserve">好，现在十一点四十，大家去趟洗手间，十一点五十门口上车。</t>
  </si>
  <si>
    <r>
      <rPr>
        <sz val="10"/>
        <color rgb="FF000000"/>
        <rFont val="微软雅黑"/>
        <family val="0"/>
        <charset val="1"/>
      </rPr>
      <t xml:space="preserve">11:40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11:50</t>
    </r>
  </si>
  <si>
    <t xml:space="preserve">中午到石林吃饭，饭后两点左右进景区。</t>
  </si>
  <si>
    <t xml:space="preserve">石林是喀斯特地貌，那些石头是水流长年累月溶蚀出来的，到了再给大家细讲。</t>
  </si>
  <si>
    <t xml:space="preserve">景区里石缝窄、台阶多，大家注意脚下，拍照别往石头上爬。</t>
  </si>
  <si>
    <t xml:space="preserve">这个我同意，安全第一。</t>
  </si>
  <si>
    <t xml:space="preserve">各位慢走，下回来昆明，再来店里坐坐。</t>
  </si>
  <si>
    <t xml:space="preserve">（在门口挥手）</t>
  </si>
  <si>
    <t xml:space="preserve">赵导，马上上高速了，你提醒大家把安全带系上。</t>
  </si>
  <si>
    <t xml:space="preserve">好嘞师傅。各位，车马上上高速，大家系好安全带，过道别站人啊。</t>
  </si>
  <si>
    <t xml:space="preserve">今天咱们从昆明去大理，路上四个半小时左右，中间在服务区歇个脚。</t>
  </si>
  <si>
    <r>
      <rPr>
        <sz val="10"/>
        <color rgb="FF000000"/>
        <rFont val="微软雅黑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小时</t>
    </r>
  </si>
  <si>
    <t xml:space="preserve">昆明；大理</t>
  </si>
  <si>
    <t xml:space="preserve">四个半小时啊，那到大理差不多下午两点了。</t>
  </si>
  <si>
    <r>
      <rPr>
        <sz val="10"/>
        <color rgb="FF000000"/>
        <rFont val="微软雅黑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小时；</t>
    </r>
    <r>
      <rPr>
        <sz val="10"/>
        <color rgb="FF000000"/>
        <rFont val="微软雅黑"/>
        <family val="0"/>
        <charset val="1"/>
      </rPr>
      <t xml:space="preserve">14:00</t>
    </r>
  </si>
  <si>
    <t xml:space="preserve">对，大叔算得准。大理古城走路多，下午穿双舒服的鞋。</t>
  </si>
  <si>
    <t xml:space="preserve">趁路上有空，跟大家交个底，说几句掏心窝子的话。</t>
  </si>
  <si>
    <t xml:space="preserve">咱们这个团是听澜百川旅行社组的，团费一千三百八，五天四晚，吃住行加门票全包。</t>
  </si>
  <si>
    <r>
      <rPr>
        <sz val="10"/>
        <color rgb="FF000000"/>
        <rFont val="微软雅黑"/>
        <family val="0"/>
        <charset val="1"/>
      </rPr>
      <t xml:space="preserve">1380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天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晚</t>
    </r>
  </si>
  <si>
    <t xml:space="preserve">大家报名前肯定比过价，这个价钱什么水平，不用我多说。</t>
  </si>
  <si>
    <t xml:space="preserve">说白了，团费就这么点，这个团能不能走得舒舒服服，全靠大家支持。</t>
  </si>
  <si>
    <t xml:space="preserve">我这个导游当得好不好，跟大家后面玩得顺不顺，其实是拴在一根绳上的。</t>
  </si>
  <si>
    <t xml:space="preserve">支持？赵导，你说的支持，具体是啥意思啊？</t>
  </si>
  <si>
    <t xml:space="preserve">也没别的。明天上午有家银器店，后天丽江还有家普洱茶店，大家进去看看，合适就带点回去。</t>
  </si>
  <si>
    <t xml:space="preserve">银器；丽江；普洱茶</t>
  </si>
  <si>
    <t xml:space="preserve">当然，买不买随大家。我就是说，大家心里都有杆秤，自己掂量掂量。</t>
  </si>
  <si>
    <t xml:space="preserve">昨天在锦程玉器城，咱们团基本没怎么动，上面已经有点看法了。</t>
  </si>
  <si>
    <t xml:space="preserve">上一个团的朋友就特别给力，酒店那边给他们排的都是好房间。</t>
  </si>
  <si>
    <t xml:space="preserve">怎么，买东西还跟晚上住哪儿挂钩啊？</t>
  </si>
  <si>
    <t xml:space="preserve">也不是说一定挂钩。房间是统一排的，排的时候看的是团里的整体情况。</t>
  </si>
  <si>
    <t xml:space="preserve">后面几晚住的地方，我还在跟那边协调，具体怎么安排，还要看这两天大家的情况。</t>
  </si>
  <si>
    <t xml:space="preserve">要是大家都无所谓，那晚上的住宿可能就得调整一下，换个地方住，反正就是睡一觉的事嘛。</t>
  </si>
  <si>
    <t xml:space="preserve">换地方？换到哪儿去？离古城远不远啊？</t>
  </si>
  <si>
    <t xml:space="preserve">现在还说不准，先跟大家提一句，真有变动，大家心里也有个准备。</t>
  </si>
  <si>
    <t xml:space="preserve">赵导，团费低是你们旅行社定的价，又不是我们压的价。</t>
  </si>
  <si>
    <t xml:space="preserve">大叔，道理是这个道理，可这行就是互相的，大家帮我一把，我也拉大家一把。</t>
  </si>
  <si>
    <t xml:space="preserve">明天进店，哪怕每人带个小银饰出来，我去跟酒店谈的时候，腰杆也硬一点。</t>
  </si>
  <si>
    <t xml:space="preserve">银饰</t>
  </si>
  <si>
    <t xml:space="preserve">那要是我们一样都不买呢？</t>
  </si>
  <si>
    <t xml:space="preserve">那……我也只能尽量去争取，争取到什么样，我真不敢打包票。</t>
  </si>
  <si>
    <t xml:space="preserve">行了赵导，你把合同拿出来，给大家念一念，住宿到底是怎么写的。</t>
  </si>
  <si>
    <t xml:space="preserve">合同肯定有，大叔莫急，我这不就是跟大家聊聊天嘛。</t>
  </si>
  <si>
    <t xml:space="preserve">不用麻烦了，我手机里拍了合同，我念给大家听。</t>
  </si>
  <si>
    <t xml:space="preserve">合同上写的：住宿四晚，昆明一晚、大理一晚、丽江两晚，都是标准双人间，含早餐。</t>
  </si>
  <si>
    <t xml:space="preserve">（看着手机念）</t>
  </si>
  <si>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晚；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晚；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晚；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晚</t>
    </r>
  </si>
  <si>
    <t xml:space="preserve">昆明；大理；丽江</t>
  </si>
  <si>
    <t xml:space="preserve">购物点三个，每个不超过一小时，后面还专门写了一句：购物自愿。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</si>
  <si>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个；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小时</t>
    </r>
  </si>
  <si>
    <t xml:space="preserve">大家都听见了吧，标准双人间，白纸黑字，没什么好调整的。</t>
  </si>
  <si>
    <t xml:space="preserve">嗯……是，合同上是这么写的，我刚才可能没把话说清楚。</t>
  </si>
  <si>
    <t xml:space="preserve">（语气放软）</t>
  </si>
  <si>
    <t xml:space="preserve">住宿肯定按合同来，后面几晚都是标准双人间，这个不会变。</t>
  </si>
  <si>
    <t xml:space="preserve">刚才那些话说得不妥当，让大家不舒服了，我跟大家道个歉。</t>
  </si>
  <si>
    <t xml:space="preserve">那明天的银器店，我们要是不想买呢？</t>
  </si>
  <si>
    <t xml:space="preserve">银器</t>
  </si>
  <si>
    <t xml:space="preserve">店是合同里有的，进去坐坐、看看就行，不买一点问题都没有。</t>
  </si>
  <si>
    <t xml:space="preserve">这就对了嘛。出来玩，图的就是个开心。</t>
  </si>
  <si>
    <t xml:space="preserve">赵导，前面二十公里有个服务区，这次停多久？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</si>
  <si>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公里</t>
    </r>
  </si>
  <si>
    <t xml:space="preserve">停二十分钟。各位，十点半到服务区，十点五十准时发车，大家记好时间。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</si>
  <si>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10:30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10:50</t>
    </r>
  </si>
  <si>
    <t xml:space="preserve">下车注意来车，贵重物品随身带好，上车前看看身边的人到齐没有。</t>
  </si>
  <si>
    <t xml:space="preserve">好的，谢谢赵导。</t>
  </si>
  <si>
    <t xml:space="preserve">赵导，离开饭还有十分钟，想跟您单独聊几句，方便吗？</t>
  </si>
  <si>
    <t xml:space="preserve">（在餐厅外的小院里）</t>
  </si>
  <si>
    <t xml:space="preserve">方便方便，代表找我，哪有不方便的。</t>
  </si>
  <si>
    <t xml:space="preserve">那你们聊，我先进去帮大家占桌子。</t>
  </si>
  <si>
    <t xml:space="preserve">（转身走进餐厅）</t>
  </si>
  <si>
    <t xml:space="preserve">正好我也想找您。明天那家普洱茶店，您帮我跟大家说说，多少带点东西出来，后面我也好安排。</t>
  </si>
  <si>
    <t xml:space="preserve">普洱茶</t>
  </si>
  <si>
    <t xml:space="preserve">说实话，今天咱们团后台的数字很不好看，计调已经打电话来问了。</t>
  </si>
  <si>
    <t xml:space="preserve">要是明天还这样，后面几天车怎么派、房怎么排，我就很难替大家说上话了。</t>
  </si>
  <si>
    <t xml:space="preserve">我也不让您白帮忙。明早出发，我可以往后推半个钟头，让大家多睡会儿。</t>
  </si>
  <si>
    <t xml:space="preserve">后面两天车上前排的位置，我也给您和几位肯帮衬的朋友留着。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</si>
  <si>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天</t>
    </r>
  </si>
  <si>
    <t xml:space="preserve">明晚吃饭，我也能跟餐厅打个招呼，给大家加两个菜，这都看明天了。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</si>
  <si>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个</t>
    </r>
  </si>
  <si>
    <t xml:space="preserve">赵导，您先别往下说。这几天您说过的话，我跟您核对核对。</t>
  </si>
  <si>
    <t xml:space="preserve">在锦程玉器城门口，您说下午石林待多久，要看上午的情况来排。</t>
  </si>
  <si>
    <t xml:space="preserve">（语气平静）</t>
  </si>
  <si>
    <t xml:space="preserve">锦程玉器城；石林</t>
  </si>
  <si>
    <t xml:space="preserve">游客复述导游原话：按说话人意图标为“服务态度”；如按话题标注，可改为“威胁消费”</t>
  </si>
  <si>
    <t xml:space="preserve">去大理的车上，您说后面几晚住的地方，要看大家的情况再协调。</t>
  </si>
  <si>
    <t xml:space="preserve">合同当着大家念过，您也道了歉。可今天在银器店门口，您又说咱们团的情况大家心里有数，后面的安排不好跟上面交代。</t>
  </si>
  <si>
    <t xml:space="preserve">刚才您又说，明天大家买了东西，出发可以晚半个钟头，前排座位给留着，晚饭还能加菜。是这么说的吧？</t>
  </si>
  <si>
    <t xml:space="preserve">嗯……话是说过，可那都是随口一说，没别的意思。</t>
  </si>
  <si>
    <t xml:space="preserve">代表您也体谅体谅，我们导游的收入，大头就靠这个，光靠团费根本不够。</t>
  </si>
  <si>
    <t xml:space="preserve">您的收入怎么算，是您跟旅行社之间的事，不该摊到我们游客身上。</t>
  </si>
  <si>
    <t xml:space="preserve">合同写的是购物自愿，住宿、行程跟买不买东西，本来就不挂钩。</t>
  </si>
  <si>
    <t xml:space="preserve">合同是合同。可服务这东西，用不用心，合同上可写不出来。</t>
  </si>
  <si>
    <t xml:space="preserve">我干这行八年了，有些规矩大家都明白，我就不细说了。</t>
  </si>
  <si>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年</t>
    </r>
  </si>
  <si>
    <t xml:space="preserve">后面住宿、用餐要是有个不如意，我手上能争取的空间，可就小了。</t>
  </si>
  <si>
    <t xml:space="preserve">明天下午本想多带大家去个拍照的好地方，现在也不好意思去申请了。</t>
  </si>
  <si>
    <t xml:space="preserve">那个拍照的地方，本来在行程里吗？</t>
  </si>
  <si>
    <t xml:space="preserve">不在，是我想额外加的，不加也不算违约。</t>
  </si>
  <si>
    <t xml:space="preserve">您是明白人，有些话我不用说透，点到为止。</t>
  </si>
  <si>
    <t xml:space="preserve">赵导，我不是来跟您吵架的。</t>
  </si>
  <si>
    <t xml:space="preserve">您刚才说住宿用餐能争取的空间会变小，拍照的地方也不好申请了，这些我也记上。</t>
  </si>
  <si>
    <t xml:space="preserve">回去我会原原本本写下来，向听澜百川旅行社反映，有必要也会打一二三零一。</t>
  </si>
  <si>
    <t xml:space="preserve">我不添油加醋，也不少说一句，您说过什么，我就写什么。</t>
  </si>
  <si>
    <t xml:space="preserve">代表，您看这事弄的，咱们有话好好说嘛。</t>
  </si>
  <si>
    <t xml:space="preserve">我一直在好好说。就想听您一句明白话：明天的店，到底是不是自愿的？</t>
  </si>
  <si>
    <t xml:space="preserve">嗯……是，是自愿的。</t>
  </si>
  <si>
    <t xml:space="preserve">我把话收回来。买不买自愿，愿意进去就看看，不想看就在外面休息，谁也不用勉强。</t>
  </si>
  <si>
    <t xml:space="preserve">住宿、用餐、景点，全按合同来，一样不少，明早出发时间也照原来的定。</t>
  </si>
  <si>
    <t xml:space="preserve">这几天我说话没注意分寸，让大家心里有疙瘩，是我的不对。</t>
  </si>
  <si>
    <t xml:space="preserve">您这么说我就放心了，回去也会跟大家讲清楚。</t>
  </si>
  <si>
    <t xml:space="preserve">反映的事，您该怎么写就怎么写，我认。</t>
  </si>
  <si>
    <t xml:space="preserve">赵导，菜都上齐了，大家都等着你们呢。</t>
  </si>
  <si>
    <t xml:space="preserve">（从餐厅门口探出头，离手机较远）</t>
  </si>
  <si>
    <t xml:space="preserve">来了来了。正好跟大家说说明天的安排。</t>
  </si>
  <si>
    <t xml:space="preserve">明早七点吃早饭，八点半在酒店大堂集合，大家别迟到。</t>
  </si>
  <si>
    <r>
      <rPr>
        <sz val="10"/>
        <color rgb="FF000000"/>
        <rFont val="微软雅黑"/>
        <family val="0"/>
        <charset val="1"/>
      </rPr>
      <t xml:space="preserve">7:00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8:30</t>
    </r>
  </si>
  <si>
    <t xml:space="preserve">丽江早晚温差大，晚上出门加件外套，古城里人多，手机钱包都看好。</t>
  </si>
  <si>
    <t xml:space="preserve">要得，我进去跟大家说一声。</t>
  </si>
  <si>
    <t xml:space="preserve">师傅，这都八点十分了，刘导咋个还没来？</t>
  </si>
  <si>
    <t xml:space="preserve">（站在酒店门口，看了看手表）</t>
  </si>
  <si>
    <t xml:space="preserve">8:10</t>
  </si>
  <si>
    <t xml:space="preserve">刘导</t>
  </si>
  <si>
    <t xml:space="preserve">我也在等呢，刚才给他打了两个电话，都没人接。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</si>
  <si>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个电话</t>
    </r>
  </si>
  <si>
    <t xml:space="preserve">群里也一句话都没有。我们七点五十就下来了，早饭都是赶着吃的。</t>
  </si>
  <si>
    <t xml:space="preserve">7:50</t>
  </si>
  <si>
    <t xml:space="preserve">莫急，我再打一个试试。</t>
  </si>
  <si>
    <t xml:space="preserve">（拿出手机拨号）</t>
  </si>
  <si>
    <t xml:space="preserve">喂，刘导，你到哪儿了？客人都在临湖酒店门口等着呢。</t>
  </si>
  <si>
    <t xml:space="preserve">（打电话，开着免提）</t>
  </si>
  <si>
    <t xml:space="preserve">刘导；临湖酒店</t>
  </si>
  <si>
    <t xml:space="preserve">快了快了，马上到，你让他们再等一下嘛。</t>
  </si>
  <si>
    <t xml:space="preserve">（从免提里传出，声音较小，有车流声）</t>
  </si>
  <si>
    <t xml:space="preserve">还要等？我们都等了快二十分钟了！</t>
  </si>
  <si>
    <t xml:space="preserve">（对着手机说，与上一句部分重叠）</t>
  </si>
  <si>
    <t xml:space="preserve">他说马上到。大家先到树荫底下站一下，太阳有点晒。</t>
  </si>
  <si>
    <t xml:space="preserve">好了好了，人都到齐了吧？上车上车，赶紧走。</t>
  </si>
  <si>
    <t xml:space="preserve">（快步走过来，有点喘）</t>
  </si>
  <si>
    <t xml:space="preserve">刘导，先等一下。说好八点集合，现在都八点二十了，你迟到了整整二十分钟。</t>
  </si>
  <si>
    <r>
      <rPr>
        <sz val="10"/>
        <color rgb="FF000000"/>
        <rFont val="微软雅黑"/>
        <family val="0"/>
        <charset val="1"/>
      </rPr>
      <t xml:space="preserve">8:00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8:20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分钟</t>
    </r>
  </si>
  <si>
    <t xml:space="preserve">哎呀，路上有点事，耽搁了一下嘛，上车再说。</t>
  </si>
  <si>
    <t xml:space="preserve">有事你也提前说一声啊。电话不接，群里不回，我们就在门口干站着。</t>
  </si>
  <si>
    <t xml:space="preserve">二十分钟而已，又不影响玩，今天的景点一个都不会少。</t>
  </si>
  <si>
    <t xml:space="preserve">刘导，我们不是要为难你。我就把事情说清楚：你迟到了二十分钟，没提前通知，司机师傅打了两个电话你都没接，到现在一句解释都没有。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</si>
  <si>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个电话</t>
    </r>
  </si>
  <si>
    <t xml:space="preserve">行行行，知道了知道了，那你们想怎么样嘛？</t>
  </si>
  <si>
    <t xml:space="preserve">（不耐烦）</t>
  </si>
  <si>
    <t xml:space="preserve">你这个态度就不对了吧？我们是出来玩的，不是来看脸色的。</t>
  </si>
  <si>
    <t xml:space="preserve">我们的要求也简单：先跟大家道个歉，再说说今天耽误的时间怎么补。</t>
  </si>
  <si>
    <t xml:space="preserve">今天的安排行程单上都写着呢，这个你们自己看手机就知道了。</t>
  </si>
  <si>
    <t xml:space="preserve">要是一直是这个态度，我们只能打一二三零一反映了。</t>
  </si>
  <si>
    <t xml:space="preserve">刘导，客人说得也在理，你先跟大家好好说两句，我这边不急着发车。</t>
  </si>
  <si>
    <t xml:space="preserve">好，是我不对。各位，对不起，今天这个事是我的问题。</t>
  </si>
  <si>
    <t xml:space="preserve">（停顿约三秒，语气缓和下来）</t>
  </si>
  <si>
    <t xml:space="preserve">早上我出门晚了，路上又堵，那个，手机还调成了静音，师傅前面打的两个电话我都没听到，第三个才看到。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</si>
  <si>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个电话；第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个</t>
    </r>
  </si>
  <si>
    <t xml:space="preserve">我应该一早就在群里跟大家说一声的，结果让大家在门口白白等了二十分钟，真的不好意思。</t>
  </si>
  <si>
    <t xml:space="preserve">师傅，也对不住你，害你也跟着等。</t>
  </si>
  <si>
    <t xml:space="preserve">没事，人到了就好。</t>
  </si>
  <si>
    <t xml:space="preserve">嗯，话说开了就好。那今天耽误的时间怎么安排？</t>
  </si>
  <si>
    <t xml:space="preserve">我跟大家说一下调整。原来九点到翠湖，现在大概九点半到，翠湖的游览时间不压缩。</t>
  </si>
  <si>
    <r>
      <rPr>
        <sz val="10"/>
        <color rgb="FF000000"/>
        <rFont val="微软雅黑"/>
        <family val="0"/>
        <charset val="1"/>
      </rPr>
      <t xml:space="preserve">9:00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9:30</t>
    </r>
  </si>
  <si>
    <t xml:space="preserve">翠湖</t>
  </si>
  <si>
    <t xml:space="preserve">中午饭从十二点推到十二点半，下午去滇池的时间也相应往后挪。</t>
  </si>
  <si>
    <r>
      <rPr>
        <sz val="10"/>
        <color rgb="FF000000"/>
        <rFont val="微软雅黑"/>
        <family val="0"/>
        <charset val="1"/>
      </rPr>
      <t xml:space="preserve">12:00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12:30</t>
    </r>
  </si>
  <si>
    <t xml:space="preserve">滇池</t>
  </si>
  <si>
    <t xml:space="preserve">晚上原定六点回临湖酒店，现在争取六点半以前把大家送回来。</t>
  </si>
  <si>
    <r>
      <rPr>
        <sz val="10"/>
        <color rgb="FF000000"/>
        <rFont val="微软雅黑"/>
        <family val="0"/>
        <charset val="1"/>
      </rPr>
      <t xml:space="preserve">18:00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18:30</t>
    </r>
  </si>
  <si>
    <t xml:space="preserve">临湖酒店</t>
  </si>
  <si>
    <t xml:space="preserve">往后推的话，滇池那边会不会少看一个地方？</t>
  </si>
  <si>
    <t xml:space="preserve">不会，下午的点一个都不减，只是整体往后顺延。</t>
  </si>
  <si>
    <t xml:space="preserve">那我换条路走，这个点那边车少一点。</t>
  </si>
  <si>
    <t xml:space="preserve">好，大家上车吧，系好安全带，贵重物品随身带好。</t>
  </si>
  <si>
    <t xml:space="preserve">好嘞，大家坐稳，我们出发了。</t>
  </si>
  <si>
    <t xml:space="preserve">（关车门，车辆启动）</t>
  </si>
  <si>
    <t xml:space="preserve">各位早上好，再正式介绍一下，我是半山观澜旅行社的导游，大家叫我刘导就行。</t>
  </si>
  <si>
    <t xml:space="preserve">（车上，用车载扩音器）</t>
  </si>
  <si>
    <t xml:space="preserve">半山观澜旅行社；刘导</t>
  </si>
  <si>
    <t xml:space="preserve">我们先去翠湖。翠湖在昆明市中心，平时很多市民在湖边散步、锻炼，冬天还能看到红嘴鸥。</t>
  </si>
  <si>
    <t xml:space="preserve">翠湖；昆明</t>
  </si>
  <si>
    <t xml:space="preserve">下午去滇池，湖边风比较大，大家记得带件外套。</t>
  </si>
  <si>
    <t xml:space="preserve">刘导，到了翠湖在哪儿集合？</t>
  </si>
  <si>
    <t xml:space="preserve">刘导；翠湖</t>
  </si>
  <si>
    <t xml:space="preserve">到了以后自由活动，十一点在下车的地方集合，我会提前十分钟在那儿等大家。</t>
  </si>
  <si>
    <r>
      <rPr>
        <sz val="10"/>
        <color rgb="FF000000"/>
        <rFont val="微软雅黑"/>
        <family val="0"/>
        <charset val="1"/>
      </rPr>
      <t xml:space="preserve">11:00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</t>
    </r>
  </si>
  <si>
    <t xml:space="preserve">刘导，以后要是有什么情况，你早点在群里说一声，我们也好安排。</t>
  </si>
  <si>
    <t xml:space="preserve">要得，我记住了。今天手机我一直开着声音，有事随时找我。</t>
  </si>
  <si>
    <t xml:space="preserve">好，那今天就辛苦刘导了。</t>
  </si>
  <si>
    <t xml:space="preserve">各位，前面就进大理古城了，大家跟紧我，别走散了。</t>
  </si>
  <si>
    <t xml:space="preserve">（用随身扩音器）</t>
  </si>
  <si>
    <t xml:space="preserve">古城里的路很多是石板铺的，有的地方不太平，大家注意脚下。</t>
  </si>
  <si>
    <t xml:space="preserve">这个路是有点滑。闺女，你扶我一把。</t>
  </si>
  <si>
    <t xml:space="preserve">（走在队伍最后面）</t>
  </si>
  <si>
    <t xml:space="preserve">爸，莫急，扶着我慢慢走。</t>
  </si>
  <si>
    <t xml:space="preserve">后面的叔叔，稍微快一点哈，大家都在前面等着呢。</t>
  </si>
  <si>
    <t xml:space="preserve">（回头，用扩音器）</t>
  </si>
  <si>
    <t xml:space="preserve">哎，好，好，我快点。</t>
  </si>
  <si>
    <t xml:space="preserve">大家走快一点，后面还有好几个点要看，时间不多了。</t>
  </si>
  <si>
    <t xml:space="preserve">刘导，附近哪里有洗手间？</t>
  </si>
  <si>
    <t xml:space="preserve">前面路口右手边就有，需要的去一下，五分钟后在这棵大树下集合。</t>
  </si>
  <si>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分钟</t>
    </r>
  </si>
  <si>
    <t xml:space="preserve">人齐了没有？叔叔呢？哎呀，又落在后面了。</t>
  </si>
  <si>
    <t xml:space="preserve">（五分钟后，用扩音器，语气有点急）</t>
  </si>
  <si>
    <t xml:space="preserve">叔叔，快点快点，大家都在等您一个人。</t>
  </si>
  <si>
    <t xml:space="preserve">来了来了，刚才那段台阶，我歇了一下。</t>
  </si>
  <si>
    <t xml:space="preserve">（有点喘）</t>
  </si>
  <si>
    <t xml:space="preserve">叔叔，我这儿有水，您先喝一口，歇一歇再走。</t>
  </si>
  <si>
    <t xml:space="preserve">这点路很快就走完了，您跟紧一点，别老停下来。</t>
  </si>
  <si>
    <t xml:space="preserve">刘导，你等一下，我跟你说个事。</t>
  </si>
  <si>
    <t xml:space="preserve">（走到导游身边）</t>
  </si>
  <si>
    <t xml:space="preserve">我爸今年七十二岁了，膝盖不太好，上下台阶都得有人扶，你一直催，他心里一急，反而更容易摔。</t>
  </si>
  <si>
    <r>
      <rPr>
        <sz val="10"/>
        <color rgb="FF000000"/>
        <rFont val="微软雅黑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岁</t>
    </r>
  </si>
  <si>
    <t xml:space="preserve">刚才下台阶的时候，他一着急，脚下还滑了一下，幸好我扶住了。</t>
  </si>
  <si>
    <t xml:space="preserve">从进古城到现在，你已经催了他三回了，还拿扩音器当着大家的面喊。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</si>
  <si>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回</t>
    </r>
  </si>
  <si>
    <t xml:space="preserve">我也是为大家着想嘛，二十个人等一个人，别人也会有意见的。</t>
  </si>
  <si>
    <r>
      <rPr>
        <sz val="10"/>
        <color rgb="FF000000"/>
        <rFont val="微软雅黑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个人</t>
    </r>
  </si>
  <si>
    <t xml:space="preserve">刘导，我说句公道话，我们几个都没意见，慢一点逛反而能多看看。</t>
  </si>
  <si>
    <t xml:space="preserve">刚才那段台阶又高又窄，我走着都得扶墙，叔叔慢一点很正常。</t>
  </si>
  <si>
    <t xml:space="preserve">我们是跟团游，不是自由行，总不能让大家都陪着慢慢走吧。</t>
  </si>
  <si>
    <t xml:space="preserve">算了算了，是我拖大家后腿了，我走快一点就是。</t>
  </si>
  <si>
    <t xml:space="preserve">爸，不是你的问题，你别跟着急。</t>
  </si>
  <si>
    <t xml:space="preserve">那也不能一直这么慢呀，晚饭是订好了的，六点要到饭店。</t>
  </si>
  <si>
    <t xml:space="preserve">18:00</t>
  </si>
  <si>
    <t xml:space="preserve">现在才三点四十，离六点还早，真的没必要这么赶。</t>
  </si>
  <si>
    <r>
      <rPr>
        <sz val="10"/>
        <color rgb="FF000000"/>
        <rFont val="微软雅黑"/>
        <family val="0"/>
        <charset val="1"/>
      </rPr>
      <t xml:space="preserve">15:40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18:00</t>
    </r>
  </si>
  <si>
    <t xml:space="preserve">我们不要求别的，就希望你别再当着大家的面催他，也跟我爸道个歉。</t>
  </si>
  <si>
    <t xml:space="preserve">好，是我太着急了。</t>
  </si>
  <si>
    <t xml:space="preserve">叔叔，对不起，刚才一直催您，还拿扩音器喊，是我做得不对。</t>
  </si>
  <si>
    <t xml:space="preserve">我带团习惯了赶时间，光想着按点走，没顾上看大家的情况，以后我一定注意。</t>
  </si>
  <si>
    <t xml:space="preserve">没事没事，你们当导游的也不容易。</t>
  </si>
  <si>
    <t xml:space="preserve">接下来我们放慢节奏，我走在队伍最后面，陪着叔叔一起走。</t>
  </si>
  <si>
    <t xml:space="preserve">路线也调整一下，前面那段台阶多，我们不走了，改走旁边平一点的那条街。</t>
  </si>
  <si>
    <t xml:space="preserve">原来五点在城门口集合，现在改到五点半，晚饭我打电话让饭店往后推一推。</t>
  </si>
  <si>
    <r>
      <rPr>
        <sz val="10"/>
        <color rgb="FF000000"/>
        <rFont val="微软雅黑"/>
        <family val="0"/>
        <charset val="1"/>
      </rPr>
      <t xml:space="preserve">17:00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17:30</t>
    </r>
  </si>
  <si>
    <t xml:space="preserve">这样挺好，大家都能慢慢看。</t>
  </si>
  <si>
    <t xml:space="preserve">那我们慢慢往前走，路上谁想拍照就跟我说一声，我等大家。</t>
  </si>
  <si>
    <t xml:space="preserve">大家看，这条街两边的房子大多是白墙青瓦，拍照很好看。</t>
  </si>
  <si>
    <t xml:space="preserve">古城里电动车比较多，大家靠边走，拍照的时候注意身后。</t>
  </si>
  <si>
    <t xml:space="preserve">这条路平，走着舒服多了。</t>
  </si>
  <si>
    <t xml:space="preserve">叔叔，前面有个小坎，您扶着我，慢慢下。</t>
  </si>
  <si>
    <t xml:space="preserve">谢谢刘导。你这样带，我爸也放心多了。</t>
  </si>
  <si>
    <t xml:space="preserve">刘导，晚饭往后推，饭店那边没问题吧？</t>
  </si>
  <si>
    <t xml:space="preserve">我刚打过电话了，饭店说没问题，改成六点半到就行。</t>
  </si>
  <si>
    <t xml:space="preserve">18:30</t>
  </si>
  <si>
    <t xml:space="preserve">最后再提醒一下，五点半在城门口集合，走累了随时喊我，我们不赶。</t>
  </si>
  <si>
    <t xml:space="preserve">（用扩音器，语速放慢）</t>
  </si>
  <si>
    <t xml:space="preserve">17:30</t>
  </si>
  <si>
    <t xml:space="preserve">好，石林到了。大家自由拍照，十一点半在这个入口集合。</t>
  </si>
  <si>
    <t xml:space="preserve">哇，这么多石头，一根一根的，真壮观。</t>
  </si>
  <si>
    <t xml:space="preserve">刘导，这些石头怎么都是竖着长的？它们是怎么形成的呀？</t>
  </si>
  <si>
    <t xml:space="preserve">有什么好问的，石头就是石头嘛，拍拍照就行了。</t>
  </si>
  <si>
    <t xml:space="preserve">（边看手机边说）</t>
  </si>
  <si>
    <t xml:space="preserve">可是老师让我们回去写游记，要写清楚它们是怎么来的。</t>
  </si>
  <si>
    <t xml:space="preserve">我在车上讲过一遍了，你们没听吗？</t>
  </si>
  <si>
    <t xml:space="preserve">刘导，车上那会儿扩音器声音很小，坐后面几排的基本听不清。</t>
  </si>
  <si>
    <t xml:space="preserve">对，我坐在最后一排，就听到半句什么地形，不是，地貌，后面全是车子的声音。</t>
  </si>
  <si>
    <t xml:space="preserve">这个网上一搜全都有，你们自己查一下嘛。</t>
  </si>
  <si>
    <t xml:space="preserve">那你能再讲一次吗？就讲一小段。</t>
  </si>
  <si>
    <t xml:space="preserve">一会儿再说，一会儿再说，先拍照，人多了就不好拍了。</t>
  </si>
  <si>
    <t xml:space="preserve">（摆摆手）</t>
  </si>
  <si>
    <t xml:space="preserve">网上是有，可我们报团就是想听导游讲。你认真讲一遍，也就几分钟的事。</t>
  </si>
  <si>
    <t xml:space="preserve">我一天要讲好几遍，嗓子都哑了，你们问这么细干什么嘛。</t>
  </si>
  <si>
    <t xml:space="preserve">你辛苦大家都理解，但讲解本来就是导游的工作，这么回答孩子不太合适。</t>
  </si>
  <si>
    <t xml:space="preserve">要是一直这样，回去我们只能向半山观澜旅行社反映一下了。</t>
  </si>
  <si>
    <t xml:space="preserve">半山观澜旅行社</t>
  </si>
  <si>
    <t xml:space="preserve">好吧，是我刚才态度不好。小朋友，对不起，我给你好好讲一讲。</t>
  </si>
  <si>
    <t xml:space="preserve">（停顿约三秒，叹了口气）</t>
  </si>
  <si>
    <t xml:space="preserve">大家往这边站一点，靠着栏杆，别挡着后面的游客。</t>
  </si>
  <si>
    <t xml:space="preserve">嗯，我们眼前的石林，是很典型的喀斯特地貌，这些石头主要是石灰岩。</t>
  </si>
  <si>
    <t xml:space="preserve">很久很久以前，这一带是一片海，海底慢慢沉积出了厚厚的石灰岩。</t>
  </si>
  <si>
    <t xml:space="preserve">后来地壳抬升，海水退了，这些石灰岩就露出了地面。</t>
  </si>
  <si>
    <t xml:space="preserve">石灰岩有个特点，就是容易被水溶蚀。雨水和地下水长年累月地冲刷、溶蚀，石头就被切成了一根一根的石柱、石峰。</t>
  </si>
  <si>
    <t xml:space="preserve">那石头上这一道一道竖着的纹路，也是水弄出来的吗？</t>
  </si>
  <si>
    <t xml:space="preserve">对，这就是雨水顺着石头往下流，一点一点溶蚀出来的，有点像水滴石穿的道理。</t>
  </si>
  <si>
    <t xml:space="preserve">那为什么叫石林呢？</t>
  </si>
  <si>
    <t xml:space="preserve">因为石柱一根挨着一根，远远看过去就像一大片树林，所以叫石林。</t>
  </si>
  <si>
    <t xml:space="preserve">那它们现在还会继续变吗？</t>
  </si>
  <si>
    <t xml:space="preserve">会的，溶蚀一直都在进行，只是非常慢，平常根本看不出来。</t>
  </si>
  <si>
    <t xml:space="preserve">所以大家参观的时候，不要攀爬，也不要在石头上刻字，这些石头形成真的很不容易。</t>
  </si>
  <si>
    <t xml:space="preserve">我记下来了，喀斯特地貌，石灰岩，被水溶蚀。</t>
  </si>
  <si>
    <t xml:space="preserve">（边说边在手机上打字）</t>
  </si>
  <si>
    <t xml:space="preserve">你看，这样一讲，孩子回去写游记就有东西可写了。</t>
  </si>
  <si>
    <t xml:space="preserve">刘导，这一段讲得清楚，我站在后面也听明白了。</t>
  </si>
  <si>
    <t xml:space="preserve">谢谢大家。刚才确实是我没耐心，下一个点我先讲清楚，大家有问题随时问。</t>
  </si>
  <si>
    <t xml:space="preserve">刚才耽误了几分钟，集合时间往后推十分钟，改成十一点四十，还是在入口这里。</t>
  </si>
  <si>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11:40</t>
    </r>
  </si>
  <si>
    <t xml:space="preserve">石林里面小路多、岔路也多，大家跟紧一点，不要钻太窄的石缝。</t>
  </si>
  <si>
    <t xml:space="preserve">刘导，要是走散了怎么办？</t>
  </si>
  <si>
    <t xml:space="preserve">走散了就在原地等，给我打电话，我的电话群里有。</t>
  </si>
  <si>
    <t xml:space="preserve">前面这一段我带着大家沿步道边走边讲，讲完了大家再自由拍照。</t>
  </si>
  <si>
    <t xml:space="preserve">好，那我们跟着你走。</t>
  </si>
  <si>
    <t xml:space="preserve">各位早上好，欢迎来到石林！我是星野云途旅行社的导游，大家叫我何导就行。</t>
  </si>
  <si>
    <t xml:space="preserve">（入口广场，用腰挂扩音器，周围人声较多）</t>
  </si>
  <si>
    <t xml:space="preserve">石林；星野云途旅行社；何导</t>
  </si>
  <si>
    <t xml:space="preserve">何导好！</t>
  </si>
  <si>
    <t xml:space="preserve">（与周围游客的问好声部分重叠）</t>
  </si>
  <si>
    <t xml:space="preserve">何导</t>
  </si>
  <si>
    <t xml:space="preserve">先说一下费用，今天的门票已经包含在团费里了，不用另外交钱，大家跟着我排队进去就行。</t>
  </si>
  <si>
    <t xml:space="preserve">团费</t>
  </si>
  <si>
    <t xml:space="preserve">那个，里面的电瓶车也包含吗？</t>
  </si>
  <si>
    <t xml:space="preserve">电瓶车</t>
  </si>
  <si>
    <t xml:space="preserve">电瓶车不包含，是自费的，坐不坐看大家自己。今天这条路线走路就能走完，不坐也完全没问题。</t>
  </si>
  <si>
    <t xml:space="preserve">电瓶车；自费</t>
  </si>
  <si>
    <t xml:space="preserve">那我们就走路，正好活动活动。</t>
  </si>
  <si>
    <t xml:space="preserve">好，说一下游览路线。我们沿着主步道往里走，中间停几次讲解，最后走到出口，整个大概两个小时。里面岔路多，石头又高，一转弯就看不到前面的人，所以请大家认准我手里这面小黄旗。</t>
  </si>
  <si>
    <t xml:space="preserve">（语速平稳，一口气讲完）</t>
  </si>
  <si>
    <t xml:space="preserve">那万一真的走散了，咋个办嘛？</t>
  </si>
  <si>
    <t xml:space="preserve">莫急，记住三条。第一，站在原地别乱走；第二，马上给我打电话，号码在群里；第三，找穿工作服的景区工作人员帮忙联系我。</t>
  </si>
  <si>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条</t>
    </r>
  </si>
  <si>
    <t xml:space="preserve">嗯，原地等，打电话，找工作人员，记住了。</t>
  </si>
  <si>
    <t xml:space="preserve">好，我们边走边讲。大家眼前这一片，就是石林最有名的景观，属于喀斯特地貌。简单说，就是石灰岩经过很长很长时间的雨水溶蚀，一点一点被切开、被掏空，最后留下这一根一根的石柱和石峰。</t>
  </si>
  <si>
    <t xml:space="preserve">（停顿约三秒后边走边讲；连续讲解开始）</t>
  </si>
  <si>
    <t xml:space="preserve">石林；喀斯特地貌；石灰岩</t>
  </si>
  <si>
    <t xml:space="preserve">大家走近看看，石头表面一道一道的纹路，都是水慢慢溶出来的。石峰一根挨着一根，走在中间就像走迷宫，所以一定要跟紧队伍。</t>
  </si>
  <si>
    <t xml:space="preserve">这些石头都是天然形成的，大家千万别去爬，也别用力推、用力靠，保护石头，也是保护自己。</t>
  </si>
  <si>
    <t xml:space="preserve">（连续讲解结束）</t>
  </si>
  <si>
    <t xml:space="preserve">哇，真的像迷宫一样，好壮观啊！</t>
  </si>
  <si>
    <t xml:space="preserve">（与上一句末尾部分重叠）</t>
  </si>
  <si>
    <t xml:space="preserve">何导，前面那里好漂亮，我们会在那儿停下来拍照吗？</t>
  </si>
  <si>
    <t xml:space="preserve">会的，那里本来就是拍照点，我们停十分钟，不是，停十五分钟，大家慢慢拍，不着急。</t>
  </si>
  <si>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分钟；</t>
    </r>
    <r>
      <rPr>
        <sz val="10"/>
        <color rgb="FF000000"/>
        <rFont val="微软雅黑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分钟</t>
    </r>
  </si>
  <si>
    <t xml:space="preserve">拍照提醒几点：不要往石缝里钻，也不要站到石头上去，有的地方很滑；自拍杆别举太高，小心碰到旁边的人；带小朋友的，一定把孩子牵好。</t>
  </si>
  <si>
    <t xml:space="preserve">何导，帮我们几个拍张合影嘛！</t>
  </si>
  <si>
    <t xml:space="preserve">要得！大家往中间站一点，后面那位大哥再靠里一点，好，看镜头，笑一个！</t>
  </si>
  <si>
    <t xml:space="preserve">（接过游客的手机拍照）</t>
  </si>
  <si>
    <t xml:space="preserve">拍得真好，谢谢何导！</t>
  </si>
  <si>
    <t xml:space="preserve">跟大家商量个事。原来定的是十一点半在出口集合，今天人比较多，我想把集合时间调整到十二点，午饭相应改到十二点半，大家在里面能多看一会儿，可以吗？</t>
  </si>
  <si>
    <r>
      <rPr>
        <sz val="10"/>
        <color rgb="FF000000"/>
        <rFont val="微软雅黑"/>
        <family val="0"/>
        <charset val="1"/>
      </rPr>
      <t xml:space="preserve">11:30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12:30</t>
    </r>
  </si>
  <si>
    <t xml:space="preserve">可以啊，多玩一会儿更好。</t>
  </si>
  <si>
    <t xml:space="preserve">我没问题，反正不赶时间。</t>
  </si>
  <si>
    <t xml:space="preserve">同意同意！</t>
  </si>
  <si>
    <t xml:space="preserve">好，谢谢大家支持，那就定了：十二点整，出口停车场集合，我举着小黄旗等大家。</t>
  </si>
  <si>
    <t xml:space="preserve">12:00</t>
  </si>
  <si>
    <t xml:space="preserve">走完最后这一段，大家有四十分钟的自由活动时间。出口那边有些卖纪念品的小店，那不是我们安排的购物点，想逛就逛，不想逛就找地方歇一歇，买不买完全看自己。</t>
  </si>
  <si>
    <t xml:space="preserve">购物点</t>
  </si>
  <si>
    <t xml:space="preserve">自由活动的时候，能再回里面拍照吗？</t>
  </si>
  <si>
    <t xml:space="preserve">可以，只要在景区里面都行。记得看时间，十一点五十左右往出口走，就来得及。</t>
  </si>
  <si>
    <t xml:space="preserve">11:50</t>
  </si>
  <si>
    <t xml:space="preserve">何导，中午吃饭要另外交钱吗？</t>
  </si>
  <si>
    <t xml:space="preserve">不用的，午饭是团餐，费用已经包含在团费里了。有忌口的现在跟我说，我提前跟餐厅打招呼。</t>
  </si>
  <si>
    <t xml:space="preserve">团餐；团费</t>
  </si>
  <si>
    <t xml:space="preserve">我不吃辣，麻烦何导说一下。</t>
  </si>
  <si>
    <t xml:space="preserve">好的，记下了。</t>
  </si>
  <si>
    <t xml:space="preserve">何导，里面有洗手间吗？</t>
  </si>
  <si>
    <t xml:space="preserve">有的，路口都有指示牌，要去跟我说一声就行。</t>
  </si>
  <si>
    <t xml:space="preserve">最后再提醒一遍：十二点，出口停车场，看到小黄旗就是我，手机保持畅通。</t>
  </si>
  <si>
    <t xml:space="preserve">（停顿约两秒后，提高音量）</t>
  </si>
  <si>
    <t xml:space="preserve">十二点，出口停车场，记住了！</t>
  </si>
  <si>
    <t xml:space="preserve">好嘞，走咯！</t>
  </si>
  <si>
    <t xml:space="preserve">何导，前面就是海埂大坝了，我把车停到停车场。</t>
  </si>
  <si>
    <t xml:space="preserve">（车内，有发动机声）</t>
  </si>
  <si>
    <t xml:space="preserve">何导；海埂大坝</t>
  </si>
  <si>
    <t xml:space="preserve">好的，谢谢师傅。</t>
  </si>
  <si>
    <t xml:space="preserve">跟你说一下，中午回市区那段路比较堵，能早点走的话，路上能省不少时间。</t>
  </si>
  <si>
    <t xml:space="preserve">各位，跟大家商量一下。原来定的是十一点半在停车场集合，师傅说中午回去的路堵，我想把集合时间调整到十一点二十，提前十分钟，大家看行不行？</t>
  </si>
  <si>
    <t xml:space="preserve">（转身面向车厢，用车载话筒）</t>
  </si>
  <si>
    <r>
      <rPr>
        <sz val="10"/>
        <color rgb="FF000000"/>
        <rFont val="微软雅黑"/>
        <family val="0"/>
        <charset val="1"/>
      </rPr>
      <t xml:space="preserve">11:30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11:20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</t>
    </r>
  </si>
  <si>
    <t xml:space="preserve">行啊，早十分钟没关系。</t>
  </si>
  <si>
    <t xml:space="preserve">可以可以，听你们安排。</t>
  </si>
  <si>
    <t xml:space="preserve">谢谢大家理解！那就定了，十一点二十，还是在这个停车场集合。</t>
  </si>
  <si>
    <t xml:space="preserve">要得，我就在车上等。大家的包、相机别留在座位上，都随身带好。</t>
  </si>
  <si>
    <t xml:space="preserve">何导，今天还要另外交什么钱吗？</t>
  </si>
  <si>
    <t xml:space="preserve">不用，今天的车费、讲解费用都包含在团费里了。只有喂鸟的鸥粮是自费的，想喂就买，不喂光看也行。</t>
  </si>
  <si>
    <t xml:space="preserve">团费；鸥粮；自费</t>
  </si>
  <si>
    <t xml:space="preserve">好，那就是只有鸥粮自己买，清楚了。</t>
  </si>
  <si>
    <t xml:space="preserve">鸥粮</t>
  </si>
  <si>
    <t xml:space="preserve">哇，好多鸟啊！</t>
  </si>
  <si>
    <t xml:space="preserve">（下车走上大坝，背景有鸟叫声和风声）</t>
  </si>
  <si>
    <t xml:space="preserve">大家看，这就是海埂大坝，旁边这一大片水就是滇池。天上飞的、水面上漂的这些白色的鸟，就是红嘴鸥。红嘴鸥是候鸟，每年冬天都会飞到昆明来过冬，等春天天气暖和了，再成群地飞走。</t>
  </si>
  <si>
    <t xml:space="preserve">（用扩音器；连续讲解开始）</t>
  </si>
  <si>
    <t xml:space="preserve">海埂大坝；滇池；红嘴鸥；昆明</t>
  </si>
  <si>
    <t xml:space="preserve">就是说，很多人一看到红嘴鸥，就知道昆明的冬天到了。大家仔细看，它们的嘴是红色的，所以叫红嘴鸥，再看脚，脚也是红色的。</t>
  </si>
  <si>
    <t xml:space="preserve">红嘴鸥；昆明</t>
  </si>
  <si>
    <t xml:space="preserve">它们有时候飞得很低，会从大家头顶上擦过去，这时候不要伸手去抓，也不要拿东西去赶，站着看就好。</t>
  </si>
  <si>
    <t xml:space="preserve">何导，我们带了面包，可以拿面包喂吗？</t>
  </si>
  <si>
    <t xml:space="preserve">这个最好不要。面包是给人吃的，不适合喂鸟，吃剩的掉进水里还会弄脏滇池。要喂就用专门的鸥粮，大坝上有专门卖的地方。</t>
  </si>
  <si>
    <t xml:space="preserve">滇池；鸥粮</t>
  </si>
  <si>
    <t xml:space="preserve">原来面包不能喂啊，我还真不知道。</t>
  </si>
  <si>
    <t xml:space="preserve">那面包我们自己吃，待会儿去买点鸥粮。</t>
  </si>
  <si>
    <t xml:space="preserve">我家孩子也想喂，小孩子可以喂吗？</t>
  </si>
  <si>
    <t xml:space="preserve">可以的，大人在旁边看着就行。教大家个方法：把鸥粮放在手心，手掌摊平举起来，或者轻轻往空中一抛，红嘴鸥自己会飞过来接。不要往鸟身上扔，也不要大把大把往水里倒。</t>
  </si>
  <si>
    <t xml:space="preserve">鸥粮；红嘴鸥</t>
  </si>
  <si>
    <t xml:space="preserve">它们会不会啄人啊？我有点怕。</t>
  </si>
  <si>
    <t xml:space="preserve">一般不会，它们叼了吃的就飞走。你要是怕，就站远一点看，保持点距离，对鸟、对人都好。</t>
  </si>
  <si>
    <t xml:space="preserve">好，那我就站后面一点看。</t>
  </si>
  <si>
    <t xml:space="preserve">栏杆边上能靠过去拍照吗？</t>
  </si>
  <si>
    <t xml:space="preserve">可以靠近，但千万别翻过去，也别把身子探出去。手机一定拿稳，最好挂根绳子在手腕上，掉进滇池里就捞不上来了。</t>
  </si>
  <si>
    <t xml:space="preserve">听到没有，手机拿稳，拿稳。</t>
  </si>
  <si>
    <t xml:space="preserve">（转头对孩子说）</t>
  </si>
  <si>
    <t xml:space="preserve">再说一下随身物品。今天周末，大坝上人多，大家拍照、喂鸟的时候注意力都在天上，包很容易被挤开。背包最好背在前面，拉链拉好；帽子也戴好，坝上风大，一吹就跑了。</t>
  </si>
  <si>
    <t xml:space="preserve">对对对，我的帽子刚才就差点被吹跑了。</t>
  </si>
  <si>
    <t xml:space="preserve">（笑，与上一句末尾部分重叠）</t>
  </si>
  <si>
    <t xml:space="preserve">何导，大坝边上那些卖小吃、卖纪念品的，我们能去逛逛吗？</t>
  </si>
  <si>
    <t xml:space="preserve">当然可以，那是大家自由购物，我们今天不安排进店，买不买、买什么都看自己。就是吃东西的时候别举在头顶上，红嘴鸥会飞过来抢的。</t>
  </si>
  <si>
    <t xml:space="preserve">进店；红嘴鸥</t>
  </si>
  <si>
    <t xml:space="preserve">哈哈，那我得把烤肠藏好。</t>
  </si>
  <si>
    <t xml:space="preserve">各位，现在十一点十分，离集合还有十分钟，大家可以慢慢往停车场走了，不着急，看好孩子。</t>
  </si>
  <si>
    <t xml:space="preserve">（约一小时后，用扩音器）</t>
  </si>
  <si>
    <r>
      <rPr>
        <sz val="10"/>
        <color rgb="FF000000"/>
        <rFont val="微软雅黑"/>
        <family val="0"/>
        <charset val="1"/>
      </rPr>
      <t xml:space="preserve">11:10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分钟</t>
    </r>
  </si>
  <si>
    <t xml:space="preserve">好嘞，我们这就过去。</t>
  </si>
  <si>
    <t xml:space="preserve">人都到齐了吧？大家坐好，系好安全带。</t>
  </si>
  <si>
    <t xml:space="preserve">（在车头，离录音手机较远）</t>
  </si>
  <si>
    <t xml:space="preserve">到齐了，一共十二位，一个不少。今天大家都特别守时，谢谢！</t>
  </si>
  <si>
    <r>
      <rPr>
        <sz val="10"/>
        <color rgb="FF000000"/>
        <rFont val="微软雅黑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位</t>
    </r>
  </si>
  <si>
    <t xml:space="preserve">今天太开心了，孩子说明年冬天还要来看红嘴鸥！</t>
  </si>
  <si>
    <t xml:space="preserve">红嘴鸥</t>
  </si>
  <si>
    <t xml:space="preserve">各位早上好！今天还是我，星野云途旅行社的何导，陪大家在大理玩一天。</t>
  </si>
  <si>
    <t xml:space="preserve">（早上，大巴车上，用车载话筒）</t>
  </si>
  <si>
    <t xml:space="preserve">星野云途旅行社；何导；大理</t>
  </si>
  <si>
    <t xml:space="preserve">何导早！</t>
  </si>
  <si>
    <t xml:space="preserve">先跟大家商量个事。天气预报说今天下午可能有阵雨，下雨天在洱海边骑车不太安全，所以我想做个时间调整：上午先去洱海边骑行，下午再逛大理古城，内容一样不少，总时间也不变，大家看可以吗？</t>
  </si>
  <si>
    <t xml:space="preserve">洱海；大理古城</t>
  </si>
  <si>
    <t xml:space="preserve">可以啊，下雨天逛古城还挺有感觉的。</t>
  </si>
  <si>
    <t xml:space="preserve">我也同意，安全第一。</t>
  </si>
  <si>
    <t xml:space="preserve">没问题，听何导的。</t>
  </si>
  <si>
    <t xml:space="preserve">好，谢谢大家的理解和支持，那我们先去洱海边的租车点。</t>
  </si>
  <si>
    <t xml:space="preserve">洱海</t>
  </si>
  <si>
    <t xml:space="preserve">大家好，车子都检查过了，刹车、车铃都是好的。头盔都给大家准备好了，骑之前一定戴上，扣带扣好。</t>
  </si>
  <si>
    <t xml:space="preserve">（洱海边租车点，户外有风声）</t>
  </si>
  <si>
    <t xml:space="preserve">请问租车要交押金吗？</t>
  </si>
  <si>
    <t xml:space="preserve">不用，押金和租车的费用，旅行社都统一付过了，大家扫一下车上的码登记就能骑走。</t>
  </si>
  <si>
    <t xml:space="preserve">那要是想换电动车，要另外加钱吗？</t>
  </si>
  <si>
    <t xml:space="preserve">电动车要补一点差价，这个是自费的，看个人需要。不过今天这段路不长，自行车完全骑得动。</t>
  </si>
  <si>
    <t xml:space="preserve">那我就骑自行车，正好锻炼锻炼。</t>
  </si>
  <si>
    <t xml:space="preserve">那个，要是骑得慢，还车超时了要加钱吗？</t>
  </si>
  <si>
    <t xml:space="preserve">你们订的是两个小时，时间很宽裕，按时回来就不用另外加钱。</t>
  </si>
  <si>
    <t xml:space="preserve">出发之前说几条骑行安全。第一，靠右骑，在骑行道里面骑，别骑到汽车道上去；第二，不要几个人并排骑，更不要一只手扶车、一只手拍照；第三，转弯的时候提前减速，跟前面的人保持距离。</t>
  </si>
  <si>
    <t xml:space="preserve">（用腰挂扩音器；连续讲解开始）</t>
  </si>
  <si>
    <t xml:space="preserve">想拍照的时候，先找个宽敞的地方停下来，把车推到路边再拍。水边的石头有的长了青苔，特别滑，大家别站上去拍照，也不要往水里走。</t>
  </si>
  <si>
    <t xml:space="preserve">这边太阳晒，帽子、防晒都弄好。我们往前骑四十分钟左右，到观景平台休息一下，再一起往回骑。</t>
  </si>
  <si>
    <t xml:space="preserve">哇，洱海好蓝啊！那边那排山就是苍山吧？</t>
  </si>
  <si>
    <t xml:space="preserve">（骑行途中，风声较大）</t>
  </si>
  <si>
    <t xml:space="preserve">洱海；苍山</t>
  </si>
  <si>
    <t xml:space="preserve">对，那就是苍山。想拍的话，前面右边有块空地，停到那儿再拍，别在路中间停。</t>
  </si>
  <si>
    <t xml:space="preserve">苍山</t>
  </si>
  <si>
    <t xml:space="preserve">这个风景太板扎了！我先靠边停一下。</t>
  </si>
  <si>
    <t xml:space="preserve">（刹车声）</t>
  </si>
  <si>
    <t xml:space="preserve">好，现在我们进的就是大理古城。古城不大，主要街道横平竖直，比较好认路。教大家一个小窍门：能看到苍山的那边是西边，背对着苍山往前走，就是往洱海的方向。</t>
  </si>
  <si>
    <t xml:space="preserve">（下午，古城城门口，小雨刚停）</t>
  </si>
  <si>
    <t xml:space="preserve">大理古城；苍山；洱海</t>
  </si>
  <si>
    <t xml:space="preserve">古城里大部分是步行的街道，但偶尔也有电动车、自行车经过，大家走路尽量靠边，别在路中间突然停下来拍照。刚下过雨，石板路有点滑，慢慢走。</t>
  </si>
  <si>
    <t xml:space="preserve">何导，那我们可以自己逛吗？</t>
  </si>
  <si>
    <t xml:space="preserve">可以的。从现在三点半到五点半，是大家的自由活动时间，也可以说是自由购物时间。古城里卖鲜花饼、银器、茶叶的小店很多，买不买、在哪儿买，完全自愿，我们不安排进任何店。</t>
  </si>
  <si>
    <r>
      <rPr>
        <sz val="10"/>
        <color rgb="FF000000"/>
        <rFont val="微软雅黑"/>
        <family val="0"/>
        <charset val="1"/>
      </rPr>
      <t xml:space="preserve">15:30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17:30</t>
    </r>
  </si>
  <si>
    <t xml:space="preserve">鲜花饼；银器</t>
  </si>
  <si>
    <t xml:space="preserve">太好了，我就想买点鲜花饼，带回去给家里人尝尝。</t>
  </si>
  <si>
    <t xml:space="preserve">可以，喜欢就买，买之前问清楚价格再付钱就好。</t>
  </si>
  <si>
    <t xml:space="preserve">那晚饭怎么安排呢？</t>
  </si>
  <si>
    <t xml:space="preserve">晚饭六点开始，是团餐。大家五点半，啊不对，五点四十，在我们进来的这个城门口集合，然后一起走过去。</t>
  </si>
  <si>
    <r>
      <rPr>
        <sz val="10"/>
        <color rgb="FF000000"/>
        <rFont val="微软雅黑"/>
        <family val="0"/>
        <charset val="1"/>
      </rPr>
      <t xml:space="preserve">18:00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17:40</t>
    </r>
  </si>
  <si>
    <t xml:space="preserve">团餐</t>
  </si>
  <si>
    <t xml:space="preserve">五点四十，城门口，好的。</t>
  </si>
  <si>
    <t xml:space="preserve">17:40</t>
  </si>
  <si>
    <t xml:space="preserve">晚饭的饮料要另外付钱吗？</t>
  </si>
  <si>
    <t xml:space="preserve">团餐的费用已经包含在团费里，茶水也是免费的；酒水饮料是自费的，想喝自己点，不点也完全没关系。</t>
  </si>
  <si>
    <t xml:space="preserve">团餐；团费；自费</t>
  </si>
  <si>
    <t xml:space="preserve">明白了，那我喝茶就行。</t>
  </si>
  <si>
    <t xml:space="preserve">最后提醒一下，古城人多，手机、钱包放好。走散了就站在原地给我打电话，五点四十城门口见，看到小黄旗就是我！</t>
  </si>
  <si>
    <t xml:space="preserve">好嘞，何导一会儿见！</t>
  </si>
  <si>
    <t xml:space="preserve">分组统计</t>
  </si>
  <si>
    <r>
      <rPr>
        <sz val="10"/>
        <color rgb="FF5F5E5A"/>
        <rFont val="Noto Sans CJK SC"/>
        <family val="2"/>
      </rPr>
      <t xml:space="preserve">检查每组每种录音条件是否有 </t>
    </r>
    <r>
      <rPr>
        <sz val="10"/>
        <color rgb="FF5F5E5A"/>
        <rFont val="微软雅黑"/>
        <family val="0"/>
        <charset val="1"/>
      </rPr>
      <t xml:space="preserve">10 </t>
    </r>
    <r>
      <rPr>
        <sz val="10"/>
        <color rgb="FF5F5E5A"/>
        <rFont val="Noto Sans CJK SC"/>
        <family val="2"/>
      </rPr>
      <t xml:space="preserve">分钟以上、三种条件合计是否在 </t>
    </r>
    <r>
      <rPr>
        <sz val="10"/>
        <color rgb="FF5F5E5A"/>
        <rFont val="微软雅黑"/>
        <family val="0"/>
        <charset val="1"/>
      </rPr>
      <t xml:space="preserve">30—45 </t>
    </r>
    <r>
      <rPr>
        <sz val="10"/>
        <color rgb="FF5F5E5A"/>
        <rFont val="Noto Sans CJK SC"/>
        <family val="2"/>
      </rPr>
      <t xml:space="preserve">分钟，以及全班合计是否在 </t>
    </r>
    <r>
      <rPr>
        <sz val="10"/>
        <color rgb="FF5F5E5A"/>
        <rFont val="微软雅黑"/>
        <family val="0"/>
        <charset val="1"/>
      </rPr>
      <t xml:space="preserve">4—6 </t>
    </r>
    <r>
      <rPr>
        <sz val="10"/>
        <color rgb="FF5F5E5A"/>
        <rFont val="Noto Sans CJK SC"/>
        <family val="2"/>
      </rPr>
      <t xml:space="preserve">小时。蓝色数字为可调整的目标值。</t>
    </r>
  </si>
  <si>
    <t xml:space="preserve">每种条件最少（分钟）</t>
  </si>
  <si>
    <t xml:space="preserve">三种条件合计下限（分钟）</t>
  </si>
  <si>
    <t xml:space="preserve">三种条件合计上限（分钟）</t>
  </si>
  <si>
    <t xml:space="preserve">录音条件数</t>
  </si>
  <si>
    <t xml:space="preserve">全班合计下限（小时）</t>
  </si>
  <si>
    <t xml:space="preserve">全班合计上限（小时）</t>
  </si>
  <si>
    <t xml:space="preserve">专项</t>
  </si>
  <si>
    <t xml:space="preserve">剧本数</t>
  </si>
  <si>
    <t xml:space="preserve">每种条件预计时长（分钟）</t>
  </si>
  <si>
    <r>
      <rPr>
        <b val="true"/>
        <sz val="10"/>
        <color rgb="FFFFFFFF"/>
        <rFont val="Noto Sans CJK SC"/>
        <family val="2"/>
      </rPr>
      <t xml:space="preserve">每种条件是否够 </t>
    </r>
    <r>
      <rPr>
        <b val="true"/>
        <sz val="10"/>
        <color rgb="FFFFFFFF"/>
        <rFont val="微软雅黑"/>
        <family val="0"/>
        <charset val="1"/>
      </rPr>
      <t xml:space="preserve">10 </t>
    </r>
    <r>
      <rPr>
        <b val="true"/>
        <sz val="10"/>
        <color rgb="FFFFFFFF"/>
        <rFont val="Noto Sans CJK SC"/>
        <family val="2"/>
      </rPr>
      <t xml:space="preserve">分钟</t>
    </r>
  </si>
  <si>
    <t xml:space="preserve">三种条件合计（分钟）</t>
  </si>
  <si>
    <r>
      <rPr>
        <b val="true"/>
        <sz val="10"/>
        <color rgb="FFFFFFFF"/>
        <rFont val="Noto Sans CJK SC"/>
        <family val="2"/>
      </rPr>
      <t xml:space="preserve">合计是否在 </t>
    </r>
    <r>
      <rPr>
        <b val="true"/>
        <sz val="10"/>
        <color rgb="FFFFFFFF"/>
        <rFont val="微软雅黑"/>
        <family val="0"/>
        <charset val="1"/>
      </rPr>
      <t xml:space="preserve">30—45 </t>
    </r>
    <r>
      <rPr>
        <b val="true"/>
        <sz val="10"/>
        <color rgb="FFFFFFFF"/>
        <rFont val="Noto Sans CJK SC"/>
        <family val="2"/>
      </rPr>
      <t xml:space="preserve">分钟</t>
    </r>
  </si>
  <si>
    <t xml:space="preserve">降噪与语音端点检测</t>
  </si>
  <si>
    <t xml:space="preserve">远距离、手机放口袋时的识别</t>
  </si>
  <si>
    <t xml:space="preserve">说话人分离</t>
  </si>
  <si>
    <t xml:space="preserve">数字、证号、金额规范化</t>
  </si>
  <si>
    <r>
      <rPr>
        <sz val="10"/>
        <color rgb="FF000000"/>
        <rFont val="微软雅黑"/>
        <family val="0"/>
        <charset val="1"/>
      </rPr>
      <t xml:space="preserve">TensorFlow </t>
    </r>
    <r>
      <rPr>
        <sz val="10"/>
        <color rgb="FF000000"/>
        <rFont val="Noto Sans CJK SC"/>
        <family val="2"/>
      </rPr>
      <t xml:space="preserve">话术分类（模型 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</si>
  <si>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微软雅黑"/>
        <family val="0"/>
        <charset val="1"/>
      </rPr>
      <t xml:space="preserve">TensorFlow </t>
    </r>
    <r>
      <rPr>
        <sz val="10"/>
        <color rgb="FF000000"/>
        <rFont val="Noto Sans CJK SC"/>
        <family val="2"/>
      </rPr>
      <t xml:space="preserve">话术分类（模型 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</t>
    </r>
  </si>
  <si>
    <t xml:space="preserve">时间戳与证据片段导出、误报率</t>
  </si>
  <si>
    <t xml:space="preserve">全班合计</t>
  </si>
  <si>
    <t xml:space="preserve">全班合计（小时）</t>
  </si>
  <si>
    <t xml:space="preserve">话术类别分布（台词行数）</t>
  </si>
  <si>
    <r>
      <rPr>
        <b val="true"/>
        <sz val="14"/>
        <color rgb="FF0F6E56"/>
        <rFont val="Noto Sans CJK SC"/>
        <family val="2"/>
      </rPr>
      <t xml:space="preserve">录音计划（</t>
    </r>
    <r>
      <rPr>
        <b val="true"/>
        <sz val="14"/>
        <color rgb="FF0F6E56"/>
        <rFont val="微软雅黑"/>
        <family val="0"/>
        <charset val="1"/>
      </rPr>
      <t xml:space="preserve">24 </t>
    </r>
    <r>
      <rPr>
        <b val="true"/>
        <sz val="14"/>
        <color rgb="FF0F6E56"/>
        <rFont val="Noto Sans CJK SC"/>
        <family val="2"/>
      </rPr>
      <t xml:space="preserve">个剧本 </t>
    </r>
    <r>
      <rPr>
        <b val="true"/>
        <sz val="14"/>
        <color rgb="FF0F6E56"/>
        <rFont val="微软雅黑"/>
        <family val="0"/>
        <charset val="1"/>
      </rPr>
      <t xml:space="preserve">× 3 </t>
    </r>
    <r>
      <rPr>
        <b val="true"/>
        <sz val="14"/>
        <color rgb="FF0F6E56"/>
        <rFont val="Noto Sans CJK SC"/>
        <family val="2"/>
      </rPr>
      <t xml:space="preserve">种条件 </t>
    </r>
    <r>
      <rPr>
        <b val="true"/>
        <sz val="14"/>
        <color rgb="FF0F6E56"/>
        <rFont val="微软雅黑"/>
        <family val="0"/>
        <charset val="1"/>
      </rPr>
      <t xml:space="preserve">= 72 </t>
    </r>
    <r>
      <rPr>
        <b val="true"/>
        <sz val="14"/>
        <color rgb="FF0F6E56"/>
        <rFont val="Noto Sans CJK SC"/>
        <family val="2"/>
      </rPr>
      <t xml:space="preserve">个录音文件）</t>
    </r>
  </si>
  <si>
    <r>
      <rPr>
        <sz val="10"/>
        <color rgb="FF5F5E5A"/>
        <rFont val="Noto Sans CJK SC"/>
        <family val="2"/>
      </rPr>
      <t xml:space="preserve">文件名 </t>
    </r>
    <r>
      <rPr>
        <sz val="10"/>
        <color rgb="FF5F5E5A"/>
        <rFont val="微软雅黑"/>
        <family val="0"/>
        <charset val="1"/>
      </rPr>
      <t xml:space="preserve">= </t>
    </r>
    <r>
      <rPr>
        <sz val="10"/>
        <color rgb="FF5F5E5A"/>
        <rFont val="Noto Sans CJK SC"/>
        <family val="2"/>
      </rPr>
      <t xml:space="preserve">剧本编号</t>
    </r>
    <r>
      <rPr>
        <sz val="10"/>
        <color rgb="FF5F5E5A"/>
        <rFont val="微软雅黑"/>
        <family val="0"/>
        <charset val="1"/>
      </rPr>
      <t xml:space="preserve">-</t>
    </r>
    <r>
      <rPr>
        <sz val="10"/>
        <color rgb="FF5F5E5A"/>
        <rFont val="Noto Sans CJK SC"/>
        <family val="2"/>
      </rPr>
      <t xml:space="preserve">条件代码</t>
    </r>
    <r>
      <rPr>
        <sz val="10"/>
        <color rgb="FF5F5E5A"/>
        <rFont val="微软雅黑"/>
        <family val="0"/>
        <charset val="1"/>
      </rPr>
      <t xml:space="preserve">.wav</t>
    </r>
    <r>
      <rPr>
        <sz val="10"/>
        <color rgb="FF5F5E5A"/>
        <rFont val="Noto Sans CJK SC"/>
        <family val="2"/>
      </rPr>
      <t xml:space="preserve">（</t>
    </r>
    <r>
      <rPr>
        <sz val="10"/>
        <color rgb="FF5F5E5A"/>
        <rFont val="微软雅黑"/>
        <family val="0"/>
        <charset val="1"/>
      </rPr>
      <t xml:space="preserve">Q </t>
    </r>
    <r>
      <rPr>
        <sz val="10"/>
        <color rgb="FF5F5E5A"/>
        <rFont val="Noto Sans CJK SC"/>
        <family val="2"/>
      </rPr>
      <t xml:space="preserve">安静，</t>
    </r>
    <r>
      <rPr>
        <sz val="10"/>
        <color rgb="FF5F5E5A"/>
        <rFont val="微软雅黑"/>
        <family val="0"/>
        <charset val="1"/>
      </rPr>
      <t xml:space="preserve">N </t>
    </r>
    <r>
      <rPr>
        <sz val="10"/>
        <color rgb="FF5F5E5A"/>
        <rFont val="Noto Sans CJK SC"/>
        <family val="2"/>
      </rPr>
      <t xml:space="preserve">嘈杂教室，</t>
    </r>
    <r>
      <rPr>
        <sz val="10"/>
        <color rgb="FF5F5E5A"/>
        <rFont val="微软雅黑"/>
        <family val="0"/>
        <charset val="1"/>
      </rPr>
      <t xml:space="preserve">F </t>
    </r>
    <r>
      <rPr>
        <sz val="10"/>
        <color rgb="FF5F5E5A"/>
        <rFont val="Noto Sans CJK SC"/>
        <family val="2"/>
      </rPr>
      <t xml:space="preserve">口袋或远距离）。统一用同一个录音 </t>
    </r>
    <r>
      <rPr>
        <sz val="10"/>
        <color rgb="FF5F5E5A"/>
        <rFont val="微软雅黑"/>
        <family val="0"/>
        <charset val="1"/>
      </rPr>
      <t xml:space="preserve">App</t>
    </r>
    <r>
      <rPr>
        <sz val="10"/>
        <color rgb="FF5F5E5A"/>
        <rFont val="Noto Sans CJK SC"/>
        <family val="2"/>
      </rPr>
      <t xml:space="preserve">，</t>
    </r>
    <r>
      <rPr>
        <sz val="10"/>
        <color rgb="FF5F5E5A"/>
        <rFont val="微软雅黑"/>
        <family val="0"/>
        <charset val="1"/>
      </rPr>
      <t xml:space="preserve">16kHz </t>
    </r>
    <r>
      <rPr>
        <sz val="10"/>
        <color rgb="FF5F5E5A"/>
        <rFont val="Noto Sans CJK SC"/>
        <family val="2"/>
      </rPr>
      <t xml:space="preserve">单声道 </t>
    </r>
    <r>
      <rPr>
        <sz val="10"/>
        <color rgb="FF5F5E5A"/>
        <rFont val="微软雅黑"/>
        <family val="0"/>
        <charset val="1"/>
      </rPr>
      <t xml:space="preserve">WAV</t>
    </r>
    <r>
      <rPr>
        <sz val="10"/>
        <color rgb="FF5F5E5A"/>
        <rFont val="Noto Sans CJK SC"/>
        <family val="2"/>
      </rPr>
      <t xml:space="preserve">。录音人、日期、实际时长和两个勾选项为待填写项。</t>
    </r>
  </si>
  <si>
    <t xml:space="preserve">录音文件名</t>
  </si>
  <si>
    <t xml:space="preserve">条件代码</t>
  </si>
  <si>
    <t xml:space="preserve">录音人</t>
  </si>
  <si>
    <t xml:space="preserve">录音日期</t>
  </si>
  <si>
    <t xml:space="preserve">实际时长（分钟）</t>
  </si>
  <si>
    <t xml:space="preserve">参考文本已校对</t>
  </si>
  <si>
    <t xml:space="preserve">已放入数据池</t>
  </si>
  <si>
    <r>
      <rPr>
        <sz val="10"/>
        <color rgb="FF5F5E5A"/>
        <rFont val="Noto Sans CJK SC"/>
        <family val="2"/>
      </rPr>
      <t xml:space="preserve">安静的教室或会议室；手机平放在说话人中间的桌上，距离约 </t>
    </r>
    <r>
      <rPr>
        <sz val="10"/>
        <color rgb="FF5F5E5A"/>
        <rFont val="微软雅黑"/>
        <family val="0"/>
        <charset val="1"/>
      </rPr>
      <t xml:space="preserve">50 </t>
    </r>
    <r>
      <rPr>
        <sz val="10"/>
        <color rgb="FF5F5E5A"/>
        <rFont val="Noto Sans CJK SC"/>
        <family val="2"/>
      </rPr>
      <t xml:space="preserve">厘米</t>
    </r>
  </si>
  <si>
    <t xml:space="preserve">否</t>
  </si>
  <si>
    <r>
      <rPr>
        <sz val="10"/>
        <color rgb="FF5F5E5A"/>
        <rFont val="Noto Sans CJK SC"/>
        <family val="2"/>
      </rPr>
      <t xml:space="preserve">手机放在一名演员的外衣口袋里，或放在离说话人 </t>
    </r>
    <r>
      <rPr>
        <sz val="10"/>
        <color rgb="FF5F5E5A"/>
        <rFont val="微软雅黑"/>
        <family val="0"/>
        <charset val="1"/>
      </rPr>
      <t xml:space="preserve">2—3 </t>
    </r>
    <r>
      <rPr>
        <sz val="10"/>
        <color rgb="FF5F5E5A"/>
        <rFont val="Noto Sans CJK SC"/>
        <family val="2"/>
      </rPr>
      <t xml:space="preserve">米外的桌角</t>
    </r>
  </si>
  <si>
    <t xml:space="preserve">汇总</t>
  </si>
  <si>
    <t xml:space="preserve">项目</t>
  </si>
  <si>
    <t xml:space="preserve">预计（分钟）</t>
  </si>
  <si>
    <t xml:space="preserve">实际（分钟）</t>
  </si>
  <si>
    <t xml:space="preserve">已完成</t>
  </si>
  <si>
    <t xml:space="preserve">合计（分钟）</t>
  </si>
  <si>
    <t xml:space="preserve">合计（小时）</t>
  </si>
  <si>
    <t xml:space="preserve">虚构名称与号码</t>
  </si>
  <si>
    <r>
      <rPr>
        <sz val="10"/>
        <color rgb="FF5F5E5A"/>
        <rFont val="Noto Sans CJK SC"/>
        <family val="2"/>
      </rPr>
      <t xml:space="preserve">剧本中所有旅行社、店铺、酒店、人名、号码均为虚构。如发现与真实企业或人员重名，请统一替换后再使用。这张表也可直接作为第 </t>
    </r>
    <r>
      <rPr>
        <sz val="10"/>
        <color rgb="FF5F5E5A"/>
        <rFont val="微软雅黑"/>
        <family val="0"/>
        <charset val="1"/>
      </rPr>
      <t xml:space="preserve">5 </t>
    </r>
    <r>
      <rPr>
        <sz val="10"/>
        <color rgb="FF5F5E5A"/>
        <rFont val="Noto Sans CJK SC"/>
        <family val="2"/>
      </rPr>
      <t xml:space="preserve">组热词表的起点。</t>
    </r>
  </si>
  <si>
    <t xml:space="preserve">类型</t>
  </si>
  <si>
    <t xml:space="preserve">名称</t>
  </si>
  <si>
    <t xml:space="preserve">出现的组</t>
  </si>
  <si>
    <t xml:space="preserve">说明</t>
  </si>
  <si>
    <t xml:space="preserve">旅行社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</si>
  <si>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组</t>
    </r>
  </si>
  <si>
    <t xml:space="preserve">虚构</t>
  </si>
  <si>
    <t xml:space="preserve">鹿鸣七彩旅行社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</si>
  <si>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组</t>
    </r>
  </si>
  <si>
    <t xml:space="preserve">青岫远途旅行社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</si>
  <si>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组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</si>
  <si>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组</t>
    </r>
  </si>
  <si>
    <t xml:space="preserve">雾隐行舟旅行社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</si>
  <si>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</t>
    </r>
  </si>
  <si>
    <t xml:space="preserve">虚构；剧本中故意出现“雾隐晚渡”“雾隐那家”等说错或简称</t>
  </si>
  <si>
    <t xml:space="preserve">松风晚渡旅行社</t>
  </si>
  <si>
    <t xml:space="preserve">虚构；剧本中故意出现“松风行舟”等说错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</si>
  <si>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组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</si>
  <si>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组</t>
    </r>
  </si>
  <si>
    <t xml:space="preserve">星野云途旅行社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</si>
  <si>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组</t>
    </r>
  </si>
  <si>
    <t xml:space="preserve">店铺</t>
  </si>
  <si>
    <t xml:space="preserve">暮山特产超市</t>
  </si>
  <si>
    <t xml:space="preserve">青黛玉石馆</t>
  </si>
  <si>
    <t xml:space="preserve">竹溪茶仓</t>
  </si>
  <si>
    <t xml:space="preserve">晓月银坊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</si>
  <si>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</t>
    </r>
  </si>
  <si>
    <r>
      <rPr>
        <sz val="10"/>
        <color rgb="FF000000"/>
        <rFont val="Noto Sans CJK SC"/>
        <family val="2"/>
      </rPr>
      <t xml:space="preserve">虚构；第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组剧本中故意出现“晓月阁”等说错</t>
    </r>
  </si>
  <si>
    <t xml:space="preserve">听松阁玉器行</t>
  </si>
  <si>
    <r>
      <rPr>
        <sz val="10"/>
        <color rgb="FF000000"/>
        <rFont val="Noto Sans CJK SC"/>
        <family val="2"/>
      </rPr>
      <t xml:space="preserve">虚构；第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组剧本中故意出现“听松坊”等说错</t>
    </r>
  </si>
  <si>
    <t xml:space="preserve">翠微坊珠宝店</t>
  </si>
  <si>
    <t xml:space="preserve">品牌</t>
  </si>
  <si>
    <t xml:space="preserve">虚构；剧本中故意出现“百年茶叶”的误听</t>
  </si>
  <si>
    <t xml:space="preserve">酒店</t>
  </si>
  <si>
    <t xml:space="preserve">澄溪假日酒店</t>
  </si>
  <si>
    <t xml:space="preserve">演出与设施</t>
  </si>
  <si>
    <t xml:space="preserve">《云上花间》</t>
  </si>
  <si>
    <t xml:space="preserve">虚构演出</t>
  </si>
  <si>
    <t xml:space="preserve">望湖索道</t>
  </si>
  <si>
    <t xml:space="preserve">人物称呼</t>
  </si>
  <si>
    <t xml:space="preserve">周导、马导、李导、陈导、杨导、赵导、刘导、何导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</si>
  <si>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1—8 </t>
    </r>
    <r>
      <rPr>
        <sz val="10"/>
        <color rgb="FF000000"/>
        <rFont val="Noto Sans CJK SC"/>
        <family val="2"/>
      </rPr>
      <t xml:space="preserve">组各一位</t>
    </r>
  </si>
  <si>
    <t xml:space="preserve">虚构，只用姓氏称呼</t>
  </si>
  <si>
    <t xml:space="preserve">号码</t>
  </si>
  <si>
    <r>
      <rPr>
        <b val="true"/>
        <sz val="10"/>
        <color rgb="FF000000"/>
        <rFont val="Noto Sans CJK SC"/>
        <family val="2"/>
      </rPr>
      <t xml:space="preserve">旅行社电话 </t>
    </r>
    <r>
      <rPr>
        <b val="true"/>
        <sz val="10"/>
        <color rgb="FF000000"/>
        <rFont val="微软雅黑"/>
        <family val="0"/>
        <charset val="1"/>
      </rPr>
      <t xml:space="preserve">0871-0000-6688</t>
    </r>
  </si>
  <si>
    <r>
      <rPr>
        <sz val="10"/>
        <color rgb="FF000000"/>
        <rFont val="Noto Sans CJK SC"/>
        <family val="2"/>
      </rPr>
      <t xml:space="preserve">虚构，含“</t>
    </r>
    <r>
      <rPr>
        <sz val="10"/>
        <color rgb="FF000000"/>
        <rFont val="微软雅黑"/>
        <family val="0"/>
        <charset val="1"/>
      </rPr>
      <t xml:space="preserve">0000”</t>
    </r>
    <r>
      <rPr>
        <sz val="10"/>
        <color rgb="FF000000"/>
        <rFont val="Noto Sans CJK SC"/>
        <family val="2"/>
      </rPr>
      <t xml:space="preserve">号段，不对应真实号码</t>
    </r>
  </si>
  <si>
    <r>
      <rPr>
        <b val="true"/>
        <sz val="10"/>
        <color rgb="FF000000"/>
        <rFont val="Noto Sans CJK SC"/>
        <family val="2"/>
      </rPr>
      <t xml:space="preserve">导游证号 </t>
    </r>
    <r>
      <rPr>
        <b val="true"/>
        <sz val="10"/>
        <color rgb="FF000000"/>
        <rFont val="微软雅黑"/>
        <family val="0"/>
        <charset val="1"/>
      </rPr>
      <t xml:space="preserve">YN-0000-3721</t>
    </r>
  </si>
  <si>
    <r>
      <rPr>
        <b val="true"/>
        <sz val="10"/>
        <color rgb="FF000000"/>
        <rFont val="Noto Sans CJK SC"/>
        <family val="2"/>
      </rPr>
      <t xml:space="preserve">合同编号 </t>
    </r>
    <r>
      <rPr>
        <b val="true"/>
        <sz val="10"/>
        <color rgb="FF000000"/>
        <rFont val="微软雅黑"/>
        <family val="0"/>
        <charset val="1"/>
      </rPr>
      <t xml:space="preserve">HT-20260000-118</t>
    </r>
  </si>
  <si>
    <r>
      <rPr>
        <b val="true"/>
        <sz val="10"/>
        <color rgb="FF000000"/>
        <rFont val="Noto Sans CJK SC"/>
        <family val="2"/>
      </rPr>
      <t xml:space="preserve">订单号 </t>
    </r>
    <r>
      <rPr>
        <b val="true"/>
        <sz val="10"/>
        <color rgb="FF000000"/>
        <rFont val="微软雅黑"/>
        <family val="0"/>
        <charset val="1"/>
      </rPr>
      <t xml:space="preserve">DD-0000-5566</t>
    </r>
  </si>
  <si>
    <t xml:space="preserve">公共热线</t>
  </si>
  <si>
    <r>
      <rPr>
        <b val="true"/>
        <sz val="10"/>
        <color rgb="FF000000"/>
        <rFont val="微软雅黑"/>
        <family val="0"/>
        <charset val="1"/>
      </rPr>
      <t xml:space="preserve">12301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微软雅黑"/>
        <family val="0"/>
        <charset val="1"/>
      </rPr>
      <t xml:space="preserve">12345</t>
    </r>
  </si>
  <si>
    <t xml:space="preserve">多个组</t>
  </si>
  <si>
    <t xml:space="preserve">真实的公共服务热线，剧本中只作为投诉渠道提到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</si>
</sst>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第0\组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E56"/>
      <name val="Noto Sans CJK SC"/>
      <family val="2"/>
    </font>
    <font>
      <b val="true"/>
      <sz val="14"/>
      <color rgb="FF0F6E56"/>
      <name val="微软雅黑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微软雅黑"/>
      <family val="0"/>
      <charset val="1"/>
    </font>
    <font>
      <sz val="10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0000FF"/>
      <name val="微软雅黑"/>
      <family val="0"/>
      <charset val="1"/>
    </font>
    <font>
      <sz val="10"/>
      <color rgb="FF008000"/>
      <name val="微软雅黑"/>
      <family val="0"/>
      <charset val="1"/>
    </font>
    <font>
      <sz val="10"/>
      <color rgb="FF5F5E5A"/>
      <name val="Noto Sans CJK SC"/>
      <family val="2"/>
    </font>
    <font>
      <b val="true"/>
      <sz val="10"/>
      <color rgb="FF000000"/>
      <name val="微软雅黑"/>
      <family val="0"/>
      <charset val="1"/>
    </font>
    <font>
      <sz val="10"/>
      <color rgb="FF5F5E5A"/>
      <name val="微软雅黑"/>
      <family val="0"/>
      <charset val="1"/>
    </font>
    <font>
      <b val="true"/>
      <sz val="10"/>
      <color rgb="FFFFFFFF"/>
      <name val="微软雅黑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1F5EE"/>
        <bgColor rgb="FFF1EFE8"/>
      </patternFill>
    </fill>
    <fill>
      <patternFill patternType="solid">
        <fgColor rgb="FF0F6E56"/>
        <bgColor rgb="FF008080"/>
      </patternFill>
    </fill>
    <fill>
      <patternFill patternType="solid">
        <fgColor rgb="FFFFF2CC"/>
        <bgColor rgb="FFF1EFE8"/>
      </patternFill>
    </fill>
    <fill>
      <patternFill patternType="solid">
        <fgColor rgb="FFF1EFE8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6E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F5E5A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FFF2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40"/>
  </cols>
  <sheetData>
    <row r="1" customFormat="false" ht="25.5" hidden="false" customHeight="true" outlineLevel="0" collapsed="false">
      <c r="A1" s="1" t="s">
        <v>0</v>
      </c>
    </row>
    <row r="3" customFormat="false" ht="21" hidden="false" customHeight="true" outlineLevel="0" collapsed="false">
      <c r="A3" s="2" t="s">
        <v>1</v>
      </c>
      <c r="B3" s="3" t="s">
        <v>2</v>
      </c>
      <c r="C3" s="3"/>
      <c r="D3" s="3"/>
    </row>
    <row r="4" customFormat="false" ht="21" hidden="false" customHeight="true" outlineLevel="0" collapsed="false">
      <c r="A4" s="2" t="s">
        <v>3</v>
      </c>
      <c r="B4" s="3" t="s">
        <v>4</v>
      </c>
      <c r="C4" s="3"/>
      <c r="D4" s="3"/>
    </row>
    <row r="5" customFormat="false" ht="36" hidden="false" customHeight="true" outlineLevel="0" collapsed="false">
      <c r="A5" s="2" t="s">
        <v>5</v>
      </c>
      <c r="B5" s="4" t="s">
        <v>6</v>
      </c>
      <c r="C5" s="4"/>
      <c r="D5" s="4"/>
    </row>
    <row r="6" customFormat="false" ht="36" hidden="false" customHeight="true" outlineLevel="0" collapsed="false">
      <c r="A6" s="2" t="s">
        <v>7</v>
      </c>
      <c r="B6" s="4" t="s">
        <v>8</v>
      </c>
      <c r="C6" s="4"/>
      <c r="D6" s="4"/>
    </row>
    <row r="8" customFormat="false" ht="15" hidden="false" customHeight="true" outlineLevel="0" collapsed="false">
      <c r="A8" s="5" t="s">
        <v>9</v>
      </c>
      <c r="B8" s="5" t="s">
        <v>10</v>
      </c>
      <c r="C8" s="5" t="s">
        <v>11</v>
      </c>
      <c r="D8" s="5"/>
    </row>
    <row r="9" customFormat="false" ht="21" hidden="false" customHeight="true" outlineLevel="0" collapsed="false">
      <c r="A9" s="6" t="s">
        <v>12</v>
      </c>
      <c r="B9" s="7" t="s">
        <v>13</v>
      </c>
      <c r="C9" s="4" t="s">
        <v>14</v>
      </c>
      <c r="D9" s="4"/>
    </row>
    <row r="10" customFormat="false" ht="21" hidden="false" customHeight="true" outlineLevel="0" collapsed="false">
      <c r="A10" s="6" t="s">
        <v>15</v>
      </c>
      <c r="B10" s="7" t="s">
        <v>16</v>
      </c>
      <c r="C10" s="4" t="s">
        <v>17</v>
      </c>
      <c r="D10" s="4"/>
    </row>
    <row r="11" customFormat="false" ht="21" hidden="false" customHeight="true" outlineLevel="0" collapsed="false">
      <c r="A11" s="6" t="s">
        <v>18</v>
      </c>
      <c r="B11" s="7" t="s">
        <v>19</v>
      </c>
      <c r="C11" s="4" t="s">
        <v>20</v>
      </c>
      <c r="D11" s="4"/>
    </row>
    <row r="12" customFormat="false" ht="36" hidden="false" customHeight="true" outlineLevel="0" collapsed="false">
      <c r="A12" s="6" t="s">
        <v>21</v>
      </c>
      <c r="B12" s="3"/>
      <c r="C12" s="4" t="s">
        <v>22</v>
      </c>
      <c r="D12" s="4"/>
    </row>
    <row r="14" customFormat="false" ht="15" hidden="false" customHeight="false" outlineLevel="0" collapsed="false">
      <c r="A14" s="8" t="s">
        <v>23</v>
      </c>
    </row>
    <row r="15" customFormat="false" ht="21" hidden="false" customHeight="true" outlineLevel="0" collapsed="false">
      <c r="A15" s="9" t="s">
        <v>24</v>
      </c>
      <c r="B15" s="9"/>
      <c r="C15" s="9"/>
      <c r="D15" s="9"/>
    </row>
    <row r="16" customFormat="false" ht="21" hidden="false" customHeight="true" outlineLevel="0" collapsed="false">
      <c r="A16" s="9" t="s">
        <v>25</v>
      </c>
      <c r="B16" s="9"/>
      <c r="C16" s="9"/>
      <c r="D16" s="9"/>
    </row>
    <row r="17" customFormat="false" ht="36" hidden="false" customHeight="true" outlineLevel="0" collapsed="false">
      <c r="A17" s="9" t="s">
        <v>26</v>
      </c>
      <c r="B17" s="9"/>
      <c r="C17" s="9"/>
      <c r="D17" s="9"/>
    </row>
    <row r="18" customFormat="false" ht="21" hidden="false" customHeight="true" outlineLevel="0" collapsed="false">
      <c r="A18" s="9" t="s">
        <v>27</v>
      </c>
      <c r="B18" s="9"/>
      <c r="C18" s="9"/>
      <c r="D18" s="9"/>
    </row>
    <row r="20" customFormat="false" ht="15" hidden="false" customHeight="true" outlineLevel="0" collapsed="false">
      <c r="A20" s="5" t="s">
        <v>28</v>
      </c>
      <c r="B20" s="5" t="s">
        <v>29</v>
      </c>
      <c r="C20" s="5"/>
      <c r="D20" s="5"/>
    </row>
    <row r="21" customFormat="false" ht="21" hidden="false" customHeight="true" outlineLevel="0" collapsed="false">
      <c r="A21" s="6" t="s">
        <v>30</v>
      </c>
      <c r="B21" s="4" t="s">
        <v>31</v>
      </c>
      <c r="C21" s="4"/>
      <c r="D21" s="4"/>
    </row>
    <row r="22" customFormat="false" ht="21" hidden="false" customHeight="true" outlineLevel="0" collapsed="false">
      <c r="A22" s="6" t="s">
        <v>32</v>
      </c>
      <c r="B22" s="4" t="s">
        <v>33</v>
      </c>
      <c r="C22" s="4"/>
      <c r="D22" s="4"/>
    </row>
    <row r="23" customFormat="false" ht="21" hidden="false" customHeight="true" outlineLevel="0" collapsed="false">
      <c r="A23" s="6" t="s">
        <v>34</v>
      </c>
      <c r="B23" s="4" t="s">
        <v>35</v>
      </c>
      <c r="C23" s="4"/>
      <c r="D23" s="4"/>
    </row>
    <row r="24" customFormat="false" ht="21" hidden="false" customHeight="true" outlineLevel="0" collapsed="false">
      <c r="A24" s="6" t="s">
        <v>36</v>
      </c>
      <c r="B24" s="4" t="s">
        <v>37</v>
      </c>
      <c r="C24" s="4"/>
      <c r="D24" s="4"/>
    </row>
    <row r="25" customFormat="false" ht="21" hidden="false" customHeight="true" outlineLevel="0" collapsed="false">
      <c r="A25" s="6" t="s">
        <v>38</v>
      </c>
      <c r="B25" s="4" t="s">
        <v>39</v>
      </c>
      <c r="C25" s="4"/>
      <c r="D25" s="4"/>
    </row>
    <row r="26" customFormat="false" ht="21" hidden="false" customHeight="true" outlineLevel="0" collapsed="false">
      <c r="A26" s="6" t="s">
        <v>40</v>
      </c>
      <c r="B26" s="4" t="s">
        <v>41</v>
      </c>
      <c r="C26" s="4"/>
      <c r="D26" s="4"/>
    </row>
    <row r="27" customFormat="false" ht="21" hidden="false" customHeight="true" outlineLevel="0" collapsed="false">
      <c r="A27" s="6" t="s">
        <v>42</v>
      </c>
      <c r="B27" s="4" t="s">
        <v>43</v>
      </c>
      <c r="C27" s="4"/>
      <c r="D27" s="4"/>
    </row>
    <row r="29" customFormat="false" ht="15" hidden="false" customHeight="true" outlineLevel="0" collapsed="false">
      <c r="A29" s="5" t="s">
        <v>44</v>
      </c>
      <c r="B29" s="5" t="s">
        <v>29</v>
      </c>
      <c r="C29" s="5"/>
      <c r="D29" s="5"/>
    </row>
    <row r="30" customFormat="false" ht="36" hidden="false" customHeight="true" outlineLevel="0" collapsed="false">
      <c r="A30" s="6" t="s">
        <v>45</v>
      </c>
      <c r="B30" s="4" t="s">
        <v>46</v>
      </c>
      <c r="C30" s="4"/>
      <c r="D30" s="4"/>
    </row>
    <row r="31" customFormat="false" ht="21" hidden="false" customHeight="true" outlineLevel="0" collapsed="false">
      <c r="A31" s="6" t="s">
        <v>47</v>
      </c>
      <c r="B31" s="4" t="s">
        <v>48</v>
      </c>
      <c r="C31" s="4"/>
      <c r="D31" s="4"/>
    </row>
    <row r="32" customFormat="false" ht="21" hidden="false" customHeight="true" outlineLevel="0" collapsed="false">
      <c r="A32" s="6" t="s">
        <v>49</v>
      </c>
      <c r="B32" s="4" t="s">
        <v>50</v>
      </c>
      <c r="C32" s="4"/>
      <c r="D32" s="4"/>
    </row>
    <row r="33" customFormat="false" ht="21" hidden="false" customHeight="true" outlineLevel="0" collapsed="false">
      <c r="A33" s="6" t="s">
        <v>51</v>
      </c>
      <c r="B33" s="4" t="s">
        <v>52</v>
      </c>
      <c r="C33" s="4"/>
      <c r="D33" s="4"/>
    </row>
    <row r="35" customFormat="false" ht="15" hidden="false" customHeight="true" outlineLevel="0" collapsed="false">
      <c r="A35" s="5" t="s">
        <v>53</v>
      </c>
      <c r="B35" s="5" t="s">
        <v>29</v>
      </c>
      <c r="C35" s="5"/>
      <c r="D35" s="5" t="s">
        <v>54</v>
      </c>
    </row>
    <row r="36" customFormat="false" ht="36" hidden="false" customHeight="true" outlineLevel="0" collapsed="false">
      <c r="A36" s="6" t="s">
        <v>55</v>
      </c>
      <c r="B36" s="4" t="s">
        <v>56</v>
      </c>
      <c r="C36" s="4"/>
      <c r="D36" s="10" t="s">
        <v>57</v>
      </c>
    </row>
    <row r="37" customFormat="false" ht="21" hidden="false" customHeight="true" outlineLevel="0" collapsed="false">
      <c r="A37" s="6" t="s">
        <v>58</v>
      </c>
      <c r="B37" s="4" t="s">
        <v>59</v>
      </c>
      <c r="C37" s="4"/>
      <c r="D37" s="11" t="s">
        <v>60</v>
      </c>
    </row>
    <row r="38" customFormat="false" ht="21" hidden="false" customHeight="true" outlineLevel="0" collapsed="false">
      <c r="A38" s="6" t="s">
        <v>61</v>
      </c>
      <c r="B38" s="4" t="s">
        <v>62</v>
      </c>
      <c r="C38" s="4"/>
      <c r="D38" s="7" t="s">
        <v>63</v>
      </c>
    </row>
    <row r="39" customFormat="false" ht="21" hidden="false" customHeight="true" outlineLevel="0" collapsed="false">
      <c r="A39" s="6" t="s">
        <v>64</v>
      </c>
      <c r="B39" s="4" t="s">
        <v>65</v>
      </c>
      <c r="C39" s="4"/>
      <c r="D39" s="12" t="s">
        <v>66</v>
      </c>
    </row>
    <row r="40" customFormat="false" ht="36" hidden="false" customHeight="true" outlineLevel="0" collapsed="false">
      <c r="A40" s="13" t="s">
        <v>67</v>
      </c>
      <c r="B40" s="13"/>
      <c r="C40" s="13"/>
      <c r="D40" s="13"/>
    </row>
    <row r="42" customFormat="false" ht="15" hidden="false" customHeight="false" outlineLevel="0" collapsed="false">
      <c r="A42" s="8" t="s">
        <v>68</v>
      </c>
    </row>
    <row r="43" customFormat="false" ht="36" hidden="false" customHeight="true" outlineLevel="0" collapsed="false">
      <c r="A43" s="9" t="s">
        <v>69</v>
      </c>
      <c r="B43" s="9"/>
      <c r="C43" s="9"/>
      <c r="D43" s="9"/>
    </row>
    <row r="44" customFormat="false" ht="36" hidden="false" customHeight="true" outlineLevel="0" collapsed="false">
      <c r="A44" s="9" t="s">
        <v>70</v>
      </c>
      <c r="B44" s="9"/>
      <c r="C44" s="9"/>
      <c r="D44" s="9"/>
    </row>
    <row r="45" customFormat="false" ht="21" hidden="false" customHeight="true" outlineLevel="0" collapsed="false">
      <c r="A45" s="9" t="s">
        <v>71</v>
      </c>
      <c r="B45" s="9"/>
      <c r="C45" s="9"/>
      <c r="D45" s="9"/>
    </row>
    <row r="46" customFormat="false" ht="21" hidden="false" customHeight="true" outlineLevel="0" collapsed="false">
      <c r="A46" s="9" t="s">
        <v>72</v>
      </c>
      <c r="B46" s="9"/>
      <c r="C46" s="9"/>
      <c r="D46" s="9"/>
    </row>
    <row r="47" customFormat="false" ht="21" hidden="false" customHeight="true" outlineLevel="0" collapsed="false">
      <c r="A47" s="9" t="s">
        <v>73</v>
      </c>
      <c r="B47" s="9"/>
      <c r="C47" s="9"/>
      <c r="D47" s="9"/>
    </row>
    <row r="48" customFormat="false" ht="36" hidden="false" customHeight="true" outlineLevel="0" collapsed="false">
      <c r="A48" s="9" t="s">
        <v>74</v>
      </c>
      <c r="B48" s="9"/>
      <c r="C48" s="9"/>
      <c r="D48" s="9"/>
    </row>
  </sheetData>
  <mergeCells count="38">
    <mergeCell ref="B3:D3"/>
    <mergeCell ref="B4:D4"/>
    <mergeCell ref="B5:D5"/>
    <mergeCell ref="B6:D6"/>
    <mergeCell ref="C8:D8"/>
    <mergeCell ref="C9:D9"/>
    <mergeCell ref="C10:D10"/>
    <mergeCell ref="C11:D11"/>
    <mergeCell ref="C12:D12"/>
    <mergeCell ref="A15:D15"/>
    <mergeCell ref="A16:D16"/>
    <mergeCell ref="A17:D17"/>
    <mergeCell ref="A18:D18"/>
    <mergeCell ref="B20:D20"/>
    <mergeCell ref="B21:D21"/>
    <mergeCell ref="B22:D22"/>
    <mergeCell ref="B23:D23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  <mergeCell ref="B35:C35"/>
    <mergeCell ref="B36:C36"/>
    <mergeCell ref="B37:C37"/>
    <mergeCell ref="B38:C38"/>
    <mergeCell ref="B39:C39"/>
    <mergeCell ref="A40:D40"/>
    <mergeCell ref="A43:D43"/>
    <mergeCell ref="A44:D44"/>
    <mergeCell ref="A45:D45"/>
    <mergeCell ref="A46:D46"/>
    <mergeCell ref="A47:D47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26"/>
    <col collapsed="false" customWidth="true" hidden="false" outlineLevel="0" max="13" min="13" style="0" width="10"/>
  </cols>
  <sheetData>
    <row r="1" customFormat="false" ht="25.5" hidden="false" customHeight="true" outlineLevel="0" collapsed="false">
      <c r="A1" s="1" t="s">
        <v>75</v>
      </c>
    </row>
    <row r="2" customFormat="false" ht="21" hidden="false" customHeight="true" outlineLevel="0" collapsed="false">
      <c r="A2" s="13" t="s">
        <v>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9.5" hidden="false" customHeight="true" outlineLevel="0" collapsed="false">
      <c r="A3" s="2" t="s">
        <v>77</v>
      </c>
      <c r="B3" s="2"/>
      <c r="C3" s="2"/>
      <c r="D3" s="11" t="n">
        <v>220</v>
      </c>
    </row>
    <row r="4" customFormat="false" ht="19.5" hidden="false" customHeight="true" outlineLevel="0" collapsed="false">
      <c r="A4" s="2" t="s">
        <v>78</v>
      </c>
      <c r="B4" s="2"/>
      <c r="C4" s="2"/>
      <c r="D4" s="11" t="n">
        <v>3</v>
      </c>
    </row>
    <row r="5" customFormat="false" ht="19.5" hidden="false" customHeight="true" outlineLevel="0" collapsed="false">
      <c r="A5" s="2" t="s">
        <v>79</v>
      </c>
      <c r="B5" s="2"/>
      <c r="C5" s="2"/>
      <c r="D5" s="11" t="n">
        <v>5</v>
      </c>
    </row>
    <row r="7" customFormat="false" ht="31.5" hidden="false" customHeight="true" outlineLevel="0" collapsed="false">
      <c r="A7" s="5" t="s">
        <v>80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87</v>
      </c>
      <c r="I7" s="5" t="s">
        <v>49</v>
      </c>
      <c r="J7" s="5" t="s">
        <v>88</v>
      </c>
      <c r="K7" s="5" t="s">
        <v>89</v>
      </c>
      <c r="L7" s="5" t="s">
        <v>90</v>
      </c>
      <c r="M7" s="5" t="s">
        <v>91</v>
      </c>
    </row>
    <row r="8" customFormat="false" ht="96" hidden="false" customHeight="true" outlineLevel="0" collapsed="false">
      <c r="A8" s="14" t="s">
        <v>92</v>
      </c>
      <c r="B8" s="15" t="n">
        <v>1</v>
      </c>
      <c r="C8" s="4" t="s">
        <v>93</v>
      </c>
      <c r="D8" s="16" t="s">
        <v>94</v>
      </c>
      <c r="E8" s="4" t="s">
        <v>95</v>
      </c>
      <c r="F8" s="4" t="s">
        <v>96</v>
      </c>
      <c r="G8" s="4" t="s">
        <v>97</v>
      </c>
      <c r="H8" s="12" t="n">
        <f aca="false">COUNTIF(台词!$A$5:$A$1059,A8)</f>
        <v>53</v>
      </c>
      <c r="I8" s="12" t="n">
        <f aca="false">SUMIF(台词!$A$5:$A$1059,A8,台词!$J$5:$J$1059)</f>
        <v>981</v>
      </c>
      <c r="J8" s="17" t="n">
        <f aca="false">I8/$D$3</f>
        <v>4.45909090909091</v>
      </c>
      <c r="K8" s="7" t="str">
        <f aca="false">IF(AND(J8&gt;=$D$4,J8&lt;=$D$5),"符合","需调整")</f>
        <v>符合</v>
      </c>
      <c r="L8" s="18"/>
      <c r="M8" s="10" t="s">
        <v>98</v>
      </c>
    </row>
    <row r="9" customFormat="false" ht="81" hidden="false" customHeight="true" outlineLevel="0" collapsed="false">
      <c r="A9" s="14" t="s">
        <v>99</v>
      </c>
      <c r="B9" s="15" t="n">
        <v>1</v>
      </c>
      <c r="C9" s="4" t="s">
        <v>93</v>
      </c>
      <c r="D9" s="16" t="s">
        <v>100</v>
      </c>
      <c r="E9" s="4" t="s">
        <v>101</v>
      </c>
      <c r="F9" s="4" t="s">
        <v>96</v>
      </c>
      <c r="G9" s="4" t="s">
        <v>102</v>
      </c>
      <c r="H9" s="12" t="n">
        <f aca="false">COUNTIF(台词!$A$5:$A$1059,A9)</f>
        <v>49</v>
      </c>
      <c r="I9" s="12" t="n">
        <f aca="false">SUMIF(台词!$A$5:$A$1059,A9,台词!$J$5:$J$1059)</f>
        <v>951</v>
      </c>
      <c r="J9" s="17" t="n">
        <f aca="false">I9/$D$3</f>
        <v>4.32272727272727</v>
      </c>
      <c r="K9" s="7" t="str">
        <f aca="false">IF(AND(J9&gt;=$D$4,J9&lt;=$D$5),"符合","需调整")</f>
        <v>符合</v>
      </c>
      <c r="L9" s="18"/>
      <c r="M9" s="10" t="s">
        <v>98</v>
      </c>
    </row>
    <row r="10" customFormat="false" ht="111" hidden="false" customHeight="true" outlineLevel="0" collapsed="false">
      <c r="A10" s="14" t="s">
        <v>103</v>
      </c>
      <c r="B10" s="15" t="n">
        <v>1</v>
      </c>
      <c r="C10" s="4" t="s">
        <v>93</v>
      </c>
      <c r="D10" s="16" t="s">
        <v>104</v>
      </c>
      <c r="E10" s="4" t="s">
        <v>105</v>
      </c>
      <c r="F10" s="4" t="s">
        <v>96</v>
      </c>
      <c r="G10" s="4" t="s">
        <v>106</v>
      </c>
      <c r="H10" s="12" t="n">
        <f aca="false">COUNTIF(台词!$A$5:$A$1059,A10)</f>
        <v>46</v>
      </c>
      <c r="I10" s="12" t="n">
        <f aca="false">SUMIF(台词!$A$5:$A$1059,A10,台词!$J$5:$J$1059)</f>
        <v>877</v>
      </c>
      <c r="J10" s="17" t="n">
        <f aca="false">I10/$D$3</f>
        <v>3.98636363636364</v>
      </c>
      <c r="K10" s="7" t="str">
        <f aca="false">IF(AND(J10&gt;=$D$4,J10&lt;=$D$5),"符合","需调整")</f>
        <v>符合</v>
      </c>
      <c r="L10" s="18"/>
      <c r="M10" s="10" t="s">
        <v>98</v>
      </c>
    </row>
    <row r="11" customFormat="false" ht="81" hidden="false" customHeight="true" outlineLevel="0" collapsed="false">
      <c r="A11" s="14" t="s">
        <v>107</v>
      </c>
      <c r="B11" s="15" t="n">
        <v>2</v>
      </c>
      <c r="C11" s="4" t="s">
        <v>108</v>
      </c>
      <c r="D11" s="16" t="s">
        <v>109</v>
      </c>
      <c r="E11" s="4" t="s">
        <v>110</v>
      </c>
      <c r="F11" s="4" t="s">
        <v>111</v>
      </c>
      <c r="G11" s="4" t="s">
        <v>112</v>
      </c>
      <c r="H11" s="12" t="n">
        <f aca="false">COUNTIF(台词!$A$5:$A$1059,A11)</f>
        <v>46</v>
      </c>
      <c r="I11" s="12" t="n">
        <f aca="false">SUMIF(台词!$A$5:$A$1059,A11,台词!$J$5:$J$1059)</f>
        <v>992</v>
      </c>
      <c r="J11" s="17" t="n">
        <f aca="false">I11/$D$3</f>
        <v>4.50909090909091</v>
      </c>
      <c r="K11" s="7" t="str">
        <f aca="false">IF(AND(J11&gt;=$D$4,J11&lt;=$D$5),"符合","需调整")</f>
        <v>符合</v>
      </c>
      <c r="L11" s="18"/>
      <c r="M11" s="10" t="s">
        <v>98</v>
      </c>
    </row>
    <row r="12" customFormat="false" ht="66" hidden="false" customHeight="true" outlineLevel="0" collapsed="false">
      <c r="A12" s="14" t="s">
        <v>113</v>
      </c>
      <c r="B12" s="15" t="n">
        <v>2</v>
      </c>
      <c r="C12" s="4" t="s">
        <v>108</v>
      </c>
      <c r="D12" s="16" t="s">
        <v>114</v>
      </c>
      <c r="E12" s="4" t="s">
        <v>115</v>
      </c>
      <c r="F12" s="4" t="s">
        <v>116</v>
      </c>
      <c r="G12" s="4" t="s">
        <v>117</v>
      </c>
      <c r="H12" s="12" t="n">
        <f aca="false">COUNTIF(台词!$A$5:$A$1059,A12)</f>
        <v>42</v>
      </c>
      <c r="I12" s="12" t="n">
        <f aca="false">SUMIF(台词!$A$5:$A$1059,A12,台词!$J$5:$J$1059)</f>
        <v>947</v>
      </c>
      <c r="J12" s="17" t="n">
        <f aca="false">I12/$D$3</f>
        <v>4.30454545454546</v>
      </c>
      <c r="K12" s="7" t="str">
        <f aca="false">IF(AND(J12&gt;=$D$4,J12&lt;=$D$5),"符合","需调整")</f>
        <v>符合</v>
      </c>
      <c r="L12" s="18"/>
      <c r="M12" s="10" t="s">
        <v>98</v>
      </c>
    </row>
    <row r="13" customFormat="false" ht="81" hidden="false" customHeight="true" outlineLevel="0" collapsed="false">
      <c r="A13" s="14" t="s">
        <v>118</v>
      </c>
      <c r="B13" s="15" t="n">
        <v>2</v>
      </c>
      <c r="C13" s="4" t="s">
        <v>108</v>
      </c>
      <c r="D13" s="16" t="s">
        <v>119</v>
      </c>
      <c r="E13" s="4" t="s">
        <v>120</v>
      </c>
      <c r="F13" s="4" t="s">
        <v>121</v>
      </c>
      <c r="G13" s="4" t="s">
        <v>122</v>
      </c>
      <c r="H13" s="12" t="n">
        <f aca="false">COUNTIF(台词!$A$5:$A$1059,A13)</f>
        <v>43</v>
      </c>
      <c r="I13" s="12" t="n">
        <f aca="false">SUMIF(台词!$A$5:$A$1059,A13,台词!$J$5:$J$1059)</f>
        <v>951</v>
      </c>
      <c r="J13" s="17" t="n">
        <f aca="false">I13/$D$3</f>
        <v>4.32272727272727</v>
      </c>
      <c r="K13" s="7" t="str">
        <f aca="false">IF(AND(J13&gt;=$D$4,J13&lt;=$D$5),"符合","需调整")</f>
        <v>符合</v>
      </c>
      <c r="L13" s="18"/>
      <c r="M13" s="10" t="s">
        <v>98</v>
      </c>
    </row>
    <row r="14" customFormat="false" ht="111" hidden="false" customHeight="true" outlineLevel="0" collapsed="false">
      <c r="A14" s="14" t="s">
        <v>123</v>
      </c>
      <c r="B14" s="15" t="n">
        <v>3</v>
      </c>
      <c r="C14" s="4" t="s">
        <v>124</v>
      </c>
      <c r="D14" s="16" t="s">
        <v>125</v>
      </c>
      <c r="E14" s="4" t="s">
        <v>126</v>
      </c>
      <c r="F14" s="4" t="s">
        <v>127</v>
      </c>
      <c r="G14" s="4" t="s">
        <v>128</v>
      </c>
      <c r="H14" s="12" t="n">
        <f aca="false">COUNTIF(台词!$A$5:$A$1059,A14)</f>
        <v>56</v>
      </c>
      <c r="I14" s="12" t="n">
        <f aca="false">SUMIF(台词!$A$5:$A$1059,A14,台词!$J$5:$J$1059)</f>
        <v>925</v>
      </c>
      <c r="J14" s="17" t="n">
        <f aca="false">I14/$D$3</f>
        <v>4.20454545454545</v>
      </c>
      <c r="K14" s="7" t="str">
        <f aca="false">IF(AND(J14&gt;=$D$4,J14&lt;=$D$5),"符合","需调整")</f>
        <v>符合</v>
      </c>
      <c r="L14" s="18"/>
      <c r="M14" s="10" t="s">
        <v>98</v>
      </c>
    </row>
    <row r="15" customFormat="false" ht="111" hidden="false" customHeight="true" outlineLevel="0" collapsed="false">
      <c r="A15" s="14" t="s">
        <v>129</v>
      </c>
      <c r="B15" s="15" t="n">
        <v>3</v>
      </c>
      <c r="C15" s="4" t="s">
        <v>124</v>
      </c>
      <c r="D15" s="16" t="s">
        <v>130</v>
      </c>
      <c r="E15" s="4" t="s">
        <v>131</v>
      </c>
      <c r="F15" s="4" t="s">
        <v>132</v>
      </c>
      <c r="G15" s="4" t="s">
        <v>133</v>
      </c>
      <c r="H15" s="12" t="n">
        <f aca="false">COUNTIF(台词!$A$5:$A$1059,A15)</f>
        <v>51</v>
      </c>
      <c r="I15" s="12" t="n">
        <f aca="false">SUMIF(台词!$A$5:$A$1059,A15,台词!$J$5:$J$1059)</f>
        <v>856</v>
      </c>
      <c r="J15" s="17" t="n">
        <f aca="false">I15/$D$3</f>
        <v>3.89090909090909</v>
      </c>
      <c r="K15" s="7" t="str">
        <f aca="false">IF(AND(J15&gt;=$D$4,J15&lt;=$D$5),"符合","需调整")</f>
        <v>符合</v>
      </c>
      <c r="L15" s="18"/>
      <c r="M15" s="10" t="s">
        <v>98</v>
      </c>
    </row>
    <row r="16" customFormat="false" ht="96" hidden="false" customHeight="true" outlineLevel="0" collapsed="false">
      <c r="A16" s="14" t="s">
        <v>134</v>
      </c>
      <c r="B16" s="15" t="n">
        <v>3</v>
      </c>
      <c r="C16" s="4" t="s">
        <v>124</v>
      </c>
      <c r="D16" s="16" t="s">
        <v>135</v>
      </c>
      <c r="E16" s="4" t="s">
        <v>136</v>
      </c>
      <c r="F16" s="4" t="s">
        <v>137</v>
      </c>
      <c r="G16" s="4" t="s">
        <v>138</v>
      </c>
      <c r="H16" s="12" t="n">
        <f aca="false">COUNTIF(台词!$A$5:$A$1059,A16)</f>
        <v>56</v>
      </c>
      <c r="I16" s="12" t="n">
        <f aca="false">SUMIF(台词!$A$5:$A$1059,A16,台词!$J$5:$J$1059)</f>
        <v>992</v>
      </c>
      <c r="J16" s="17" t="n">
        <f aca="false">I16/$D$3</f>
        <v>4.50909090909091</v>
      </c>
      <c r="K16" s="7" t="str">
        <f aca="false">IF(AND(J16&gt;=$D$4,J16&lt;=$D$5),"符合","需调整")</f>
        <v>符合</v>
      </c>
      <c r="L16" s="18"/>
      <c r="M16" s="10" t="s">
        <v>98</v>
      </c>
    </row>
    <row r="17" customFormat="false" ht="96" hidden="false" customHeight="true" outlineLevel="0" collapsed="false">
      <c r="A17" s="14" t="s">
        <v>139</v>
      </c>
      <c r="B17" s="15" t="n">
        <v>4</v>
      </c>
      <c r="C17" s="4" t="s">
        <v>140</v>
      </c>
      <c r="D17" s="16" t="s">
        <v>141</v>
      </c>
      <c r="E17" s="4" t="s">
        <v>142</v>
      </c>
      <c r="F17" s="4" t="s">
        <v>143</v>
      </c>
      <c r="G17" s="4" t="s">
        <v>144</v>
      </c>
      <c r="H17" s="12" t="n">
        <f aca="false">COUNTIF(台词!$A$5:$A$1059,A17)</f>
        <v>47</v>
      </c>
      <c r="I17" s="12" t="n">
        <f aca="false">SUMIF(台词!$A$5:$A$1059,A17,台词!$J$5:$J$1059)</f>
        <v>993</v>
      </c>
      <c r="J17" s="17" t="n">
        <f aca="false">I17/$D$3</f>
        <v>4.51363636363636</v>
      </c>
      <c r="K17" s="7" t="str">
        <f aca="false">IF(AND(J17&gt;=$D$4,J17&lt;=$D$5),"符合","需调整")</f>
        <v>符合</v>
      </c>
      <c r="L17" s="18"/>
      <c r="M17" s="10" t="s">
        <v>98</v>
      </c>
    </row>
    <row r="18" customFormat="false" ht="66" hidden="false" customHeight="true" outlineLevel="0" collapsed="false">
      <c r="A18" s="14" t="s">
        <v>145</v>
      </c>
      <c r="B18" s="15" t="n">
        <v>4</v>
      </c>
      <c r="C18" s="4" t="s">
        <v>140</v>
      </c>
      <c r="D18" s="16" t="s">
        <v>146</v>
      </c>
      <c r="E18" s="4" t="s">
        <v>147</v>
      </c>
      <c r="F18" s="4" t="s">
        <v>148</v>
      </c>
      <c r="G18" s="4" t="s">
        <v>149</v>
      </c>
      <c r="H18" s="12" t="n">
        <f aca="false">COUNTIF(台词!$A$5:$A$1059,A18)</f>
        <v>44</v>
      </c>
      <c r="I18" s="12" t="n">
        <f aca="false">SUMIF(台词!$A$5:$A$1059,A18,台词!$J$5:$J$1059)</f>
        <v>981</v>
      </c>
      <c r="J18" s="17" t="n">
        <f aca="false">I18/$D$3</f>
        <v>4.45909090909091</v>
      </c>
      <c r="K18" s="7" t="str">
        <f aca="false">IF(AND(J18&gt;=$D$4,J18&lt;=$D$5),"符合","需调整")</f>
        <v>符合</v>
      </c>
      <c r="L18" s="18"/>
      <c r="M18" s="10" t="s">
        <v>98</v>
      </c>
    </row>
    <row r="19" customFormat="false" ht="111" hidden="false" customHeight="true" outlineLevel="0" collapsed="false">
      <c r="A19" s="14" t="s">
        <v>150</v>
      </c>
      <c r="B19" s="15" t="n">
        <v>4</v>
      </c>
      <c r="C19" s="4" t="s">
        <v>140</v>
      </c>
      <c r="D19" s="16" t="s">
        <v>151</v>
      </c>
      <c r="E19" s="4" t="s">
        <v>152</v>
      </c>
      <c r="F19" s="4" t="s">
        <v>153</v>
      </c>
      <c r="G19" s="4" t="s">
        <v>154</v>
      </c>
      <c r="H19" s="12" t="n">
        <f aca="false">COUNTIF(台词!$A$5:$A$1059,A19)</f>
        <v>45</v>
      </c>
      <c r="I19" s="12" t="n">
        <f aca="false">SUMIF(台词!$A$5:$A$1059,A19,台词!$J$5:$J$1059)</f>
        <v>929</v>
      </c>
      <c r="J19" s="17" t="n">
        <f aca="false">I19/$D$3</f>
        <v>4.22272727272727</v>
      </c>
      <c r="K19" s="7" t="str">
        <f aca="false">IF(AND(J19&gt;=$D$4,J19&lt;=$D$5),"符合","需调整")</f>
        <v>符合</v>
      </c>
      <c r="L19" s="18"/>
      <c r="M19" s="10" t="s">
        <v>98</v>
      </c>
    </row>
    <row r="20" customFormat="false" ht="66" hidden="false" customHeight="true" outlineLevel="0" collapsed="false">
      <c r="A20" s="14" t="s">
        <v>155</v>
      </c>
      <c r="B20" s="15" t="n">
        <v>5</v>
      </c>
      <c r="C20" s="4" t="s">
        <v>156</v>
      </c>
      <c r="D20" s="16" t="s">
        <v>157</v>
      </c>
      <c r="E20" s="4" t="s">
        <v>158</v>
      </c>
      <c r="F20" s="4" t="s">
        <v>153</v>
      </c>
      <c r="G20" s="4" t="s">
        <v>159</v>
      </c>
      <c r="H20" s="12" t="n">
        <f aca="false">COUNTIF(台词!$A$5:$A$1059,A20)</f>
        <v>40</v>
      </c>
      <c r="I20" s="12" t="n">
        <f aca="false">SUMIF(台词!$A$5:$A$1059,A20,台词!$J$5:$J$1059)</f>
        <v>985</v>
      </c>
      <c r="J20" s="17" t="n">
        <f aca="false">I20/$D$3</f>
        <v>4.47727272727273</v>
      </c>
      <c r="K20" s="7" t="str">
        <f aca="false">IF(AND(J20&gt;=$D$4,J20&lt;=$D$5),"符合","需调整")</f>
        <v>符合</v>
      </c>
      <c r="L20" s="18"/>
      <c r="M20" s="10" t="s">
        <v>98</v>
      </c>
    </row>
    <row r="21" customFormat="false" ht="66" hidden="false" customHeight="true" outlineLevel="0" collapsed="false">
      <c r="A21" s="14" t="s">
        <v>160</v>
      </c>
      <c r="B21" s="15" t="n">
        <v>5</v>
      </c>
      <c r="C21" s="4" t="s">
        <v>156</v>
      </c>
      <c r="D21" s="16" t="s">
        <v>161</v>
      </c>
      <c r="E21" s="4" t="s">
        <v>162</v>
      </c>
      <c r="F21" s="4" t="s">
        <v>148</v>
      </c>
      <c r="G21" s="4" t="s">
        <v>163</v>
      </c>
      <c r="H21" s="12" t="n">
        <f aca="false">COUNTIF(台词!$A$5:$A$1059,A21)</f>
        <v>37</v>
      </c>
      <c r="I21" s="12" t="n">
        <f aca="false">SUMIF(台词!$A$5:$A$1059,A21,台词!$J$5:$J$1059)</f>
        <v>951</v>
      </c>
      <c r="J21" s="17" t="n">
        <f aca="false">I21/$D$3</f>
        <v>4.32272727272727</v>
      </c>
      <c r="K21" s="7" t="str">
        <f aca="false">IF(AND(J21&gt;=$D$4,J21&lt;=$D$5),"符合","需调整")</f>
        <v>符合</v>
      </c>
      <c r="L21" s="18"/>
      <c r="M21" s="10" t="s">
        <v>98</v>
      </c>
    </row>
    <row r="22" customFormat="false" ht="51" hidden="false" customHeight="true" outlineLevel="0" collapsed="false">
      <c r="A22" s="14" t="s">
        <v>164</v>
      </c>
      <c r="B22" s="15" t="n">
        <v>5</v>
      </c>
      <c r="C22" s="4" t="s">
        <v>156</v>
      </c>
      <c r="D22" s="16" t="s">
        <v>165</v>
      </c>
      <c r="E22" s="4" t="s">
        <v>166</v>
      </c>
      <c r="F22" s="4" t="s">
        <v>148</v>
      </c>
      <c r="G22" s="4" t="s">
        <v>167</v>
      </c>
      <c r="H22" s="12" t="n">
        <f aca="false">COUNTIF(台词!$A$5:$A$1059,A22)</f>
        <v>42</v>
      </c>
      <c r="I22" s="12" t="n">
        <f aca="false">SUMIF(台词!$A$5:$A$1059,A22,台词!$J$5:$J$1059)</f>
        <v>915</v>
      </c>
      <c r="J22" s="17" t="n">
        <f aca="false">I22/$D$3</f>
        <v>4.15909090909091</v>
      </c>
      <c r="K22" s="7" t="str">
        <f aca="false">IF(AND(J22&gt;=$D$4,J22&lt;=$D$5),"符合","需调整")</f>
        <v>符合</v>
      </c>
      <c r="L22" s="18"/>
      <c r="M22" s="10" t="s">
        <v>98</v>
      </c>
    </row>
    <row r="23" customFormat="false" ht="66" hidden="false" customHeight="true" outlineLevel="0" collapsed="false">
      <c r="A23" s="14" t="s">
        <v>168</v>
      </c>
      <c r="B23" s="15" t="n">
        <v>6</v>
      </c>
      <c r="C23" s="4" t="s">
        <v>169</v>
      </c>
      <c r="D23" s="16" t="s">
        <v>170</v>
      </c>
      <c r="E23" s="4" t="s">
        <v>171</v>
      </c>
      <c r="F23" s="4" t="s">
        <v>172</v>
      </c>
      <c r="G23" s="4" t="s">
        <v>173</v>
      </c>
      <c r="H23" s="12" t="n">
        <f aca="false">COUNTIF(台词!$A$5:$A$1059,A23)</f>
        <v>41</v>
      </c>
      <c r="I23" s="12" t="n">
        <f aca="false">SUMIF(台词!$A$5:$A$1059,A23,台词!$J$5:$J$1059)</f>
        <v>974</v>
      </c>
      <c r="J23" s="17" t="n">
        <f aca="false">I23/$D$3</f>
        <v>4.42727272727273</v>
      </c>
      <c r="K23" s="7" t="str">
        <f aca="false">IF(AND(J23&gt;=$D$4,J23&lt;=$D$5),"符合","需调整")</f>
        <v>符合</v>
      </c>
      <c r="L23" s="18"/>
      <c r="M23" s="10" t="s">
        <v>98</v>
      </c>
    </row>
    <row r="24" customFormat="false" ht="66" hidden="false" customHeight="true" outlineLevel="0" collapsed="false">
      <c r="A24" s="14" t="s">
        <v>174</v>
      </c>
      <c r="B24" s="15" t="n">
        <v>6</v>
      </c>
      <c r="C24" s="4" t="s">
        <v>169</v>
      </c>
      <c r="D24" s="16" t="s">
        <v>175</v>
      </c>
      <c r="E24" s="4" t="s">
        <v>176</v>
      </c>
      <c r="F24" s="4" t="s">
        <v>177</v>
      </c>
      <c r="G24" s="4" t="s">
        <v>178</v>
      </c>
      <c r="H24" s="12" t="n">
        <f aca="false">COUNTIF(台词!$A$5:$A$1059,A24)</f>
        <v>42</v>
      </c>
      <c r="I24" s="12" t="n">
        <f aca="false">SUMIF(台词!$A$5:$A$1059,A24,台词!$J$5:$J$1059)</f>
        <v>995</v>
      </c>
      <c r="J24" s="17" t="n">
        <f aca="false">I24/$D$3</f>
        <v>4.52272727272727</v>
      </c>
      <c r="K24" s="7" t="str">
        <f aca="false">IF(AND(J24&gt;=$D$4,J24&lt;=$D$5),"符合","需调整")</f>
        <v>符合</v>
      </c>
      <c r="L24" s="18"/>
      <c r="M24" s="10" t="s">
        <v>98</v>
      </c>
    </row>
    <row r="25" customFormat="false" ht="66" hidden="false" customHeight="true" outlineLevel="0" collapsed="false">
      <c r="A25" s="14" t="s">
        <v>179</v>
      </c>
      <c r="B25" s="15" t="n">
        <v>6</v>
      </c>
      <c r="C25" s="4" t="s">
        <v>169</v>
      </c>
      <c r="D25" s="16" t="s">
        <v>180</v>
      </c>
      <c r="E25" s="4" t="s">
        <v>181</v>
      </c>
      <c r="F25" s="4" t="s">
        <v>182</v>
      </c>
      <c r="G25" s="4" t="s">
        <v>183</v>
      </c>
      <c r="H25" s="12" t="n">
        <f aca="false">COUNTIF(台词!$A$5:$A$1059,A25)</f>
        <v>42</v>
      </c>
      <c r="I25" s="12" t="n">
        <f aca="false">SUMIF(台词!$A$5:$A$1059,A25,台词!$J$5:$J$1059)</f>
        <v>995</v>
      </c>
      <c r="J25" s="17" t="n">
        <f aca="false">I25/$D$3</f>
        <v>4.52272727272727</v>
      </c>
      <c r="K25" s="7" t="str">
        <f aca="false">IF(AND(J25&gt;=$D$4,J25&lt;=$D$5),"符合","需调整")</f>
        <v>符合</v>
      </c>
      <c r="L25" s="18"/>
      <c r="M25" s="10" t="s">
        <v>98</v>
      </c>
    </row>
    <row r="26" customFormat="false" ht="81" hidden="false" customHeight="true" outlineLevel="0" collapsed="false">
      <c r="A26" s="14" t="s">
        <v>184</v>
      </c>
      <c r="B26" s="15" t="n">
        <v>7</v>
      </c>
      <c r="C26" s="4" t="s">
        <v>185</v>
      </c>
      <c r="D26" s="16" t="s">
        <v>186</v>
      </c>
      <c r="E26" s="4" t="s">
        <v>187</v>
      </c>
      <c r="F26" s="4" t="s">
        <v>153</v>
      </c>
      <c r="G26" s="4" t="s">
        <v>188</v>
      </c>
      <c r="H26" s="12" t="n">
        <f aca="false">COUNTIF(台词!$A$5:$A$1059,A26)</f>
        <v>42</v>
      </c>
      <c r="I26" s="12" t="n">
        <f aca="false">SUMIF(台词!$A$5:$A$1059,A26,台词!$J$5:$J$1059)</f>
        <v>952</v>
      </c>
      <c r="J26" s="17" t="n">
        <f aca="false">I26/$D$3</f>
        <v>4.32727272727273</v>
      </c>
      <c r="K26" s="7" t="str">
        <f aca="false">IF(AND(J26&gt;=$D$4,J26&lt;=$D$5),"符合","需调整")</f>
        <v>符合</v>
      </c>
      <c r="L26" s="18"/>
      <c r="M26" s="10" t="s">
        <v>98</v>
      </c>
    </row>
    <row r="27" customFormat="false" ht="81" hidden="false" customHeight="true" outlineLevel="0" collapsed="false">
      <c r="A27" s="14" t="s">
        <v>189</v>
      </c>
      <c r="B27" s="15" t="n">
        <v>7</v>
      </c>
      <c r="C27" s="4" t="s">
        <v>185</v>
      </c>
      <c r="D27" s="16" t="s">
        <v>190</v>
      </c>
      <c r="E27" s="4" t="s">
        <v>191</v>
      </c>
      <c r="F27" s="4" t="s">
        <v>148</v>
      </c>
      <c r="G27" s="4" t="s">
        <v>192</v>
      </c>
      <c r="H27" s="12" t="n">
        <f aca="false">COUNTIF(台词!$A$5:$A$1059,A27)</f>
        <v>44</v>
      </c>
      <c r="I27" s="12" t="n">
        <f aca="false">SUMIF(台词!$A$5:$A$1059,A27,台词!$J$5:$J$1059)</f>
        <v>883</v>
      </c>
      <c r="J27" s="17" t="n">
        <f aca="false">I27/$D$3</f>
        <v>4.01363636363636</v>
      </c>
      <c r="K27" s="7" t="str">
        <f aca="false">IF(AND(J27&gt;=$D$4,J27&lt;=$D$5),"符合","需调整")</f>
        <v>符合</v>
      </c>
      <c r="L27" s="18"/>
      <c r="M27" s="10" t="s">
        <v>98</v>
      </c>
    </row>
    <row r="28" customFormat="false" ht="66" hidden="false" customHeight="true" outlineLevel="0" collapsed="false">
      <c r="A28" s="14" t="s">
        <v>193</v>
      </c>
      <c r="B28" s="15" t="n">
        <v>7</v>
      </c>
      <c r="C28" s="4" t="s">
        <v>185</v>
      </c>
      <c r="D28" s="16" t="s">
        <v>194</v>
      </c>
      <c r="E28" s="4" t="s">
        <v>195</v>
      </c>
      <c r="F28" s="4" t="s">
        <v>148</v>
      </c>
      <c r="G28" s="4" t="s">
        <v>196</v>
      </c>
      <c r="H28" s="12" t="n">
        <f aca="false">COUNTIF(台词!$A$5:$A$1059,A28)</f>
        <v>38</v>
      </c>
      <c r="I28" s="12" t="n">
        <f aca="false">SUMIF(台词!$A$5:$A$1059,A28,台词!$J$5:$J$1059)</f>
        <v>859</v>
      </c>
      <c r="J28" s="17" t="n">
        <f aca="false">I28/$D$3</f>
        <v>3.90454545454545</v>
      </c>
      <c r="K28" s="7" t="str">
        <f aca="false">IF(AND(J28&gt;=$D$4,J28&lt;=$D$5),"符合","需调整")</f>
        <v>符合</v>
      </c>
      <c r="L28" s="18"/>
      <c r="M28" s="10" t="s">
        <v>98</v>
      </c>
    </row>
    <row r="29" customFormat="false" ht="81" hidden="false" customHeight="true" outlineLevel="0" collapsed="false">
      <c r="A29" s="14" t="s">
        <v>197</v>
      </c>
      <c r="B29" s="15" t="n">
        <v>8</v>
      </c>
      <c r="C29" s="4" t="s">
        <v>198</v>
      </c>
      <c r="D29" s="16" t="s">
        <v>199</v>
      </c>
      <c r="E29" s="4" t="s">
        <v>200</v>
      </c>
      <c r="F29" s="4" t="s">
        <v>127</v>
      </c>
      <c r="G29" s="4" t="s">
        <v>201</v>
      </c>
      <c r="H29" s="12" t="n">
        <f aca="false">COUNTIF(台词!$A$5:$A$1059,A29)</f>
        <v>37</v>
      </c>
      <c r="I29" s="12" t="n">
        <f aca="false">SUMIF(台词!$A$5:$A$1059,A29,台词!$J$5:$J$1059)</f>
        <v>983</v>
      </c>
      <c r="J29" s="17" t="n">
        <f aca="false">I29/$D$3</f>
        <v>4.46818181818182</v>
      </c>
      <c r="K29" s="7" t="str">
        <f aca="false">IF(AND(J29&gt;=$D$4,J29&lt;=$D$5),"符合","需调整")</f>
        <v>符合</v>
      </c>
      <c r="L29" s="18"/>
      <c r="M29" s="10" t="s">
        <v>98</v>
      </c>
    </row>
    <row r="30" customFormat="false" ht="81" hidden="false" customHeight="true" outlineLevel="0" collapsed="false">
      <c r="A30" s="14" t="s">
        <v>202</v>
      </c>
      <c r="B30" s="15" t="n">
        <v>8</v>
      </c>
      <c r="C30" s="4" t="s">
        <v>198</v>
      </c>
      <c r="D30" s="16" t="s">
        <v>203</v>
      </c>
      <c r="E30" s="4" t="s">
        <v>204</v>
      </c>
      <c r="F30" s="4" t="s">
        <v>205</v>
      </c>
      <c r="G30" s="4" t="s">
        <v>206</v>
      </c>
      <c r="H30" s="12" t="n">
        <f aca="false">COUNTIF(台词!$A$5:$A$1059,A30)</f>
        <v>37</v>
      </c>
      <c r="I30" s="12" t="n">
        <f aca="false">SUMIF(台词!$A$5:$A$1059,A30,台词!$J$5:$J$1059)</f>
        <v>992</v>
      </c>
      <c r="J30" s="17" t="n">
        <f aca="false">I30/$D$3</f>
        <v>4.50909090909091</v>
      </c>
      <c r="K30" s="7" t="str">
        <f aca="false">IF(AND(J30&gt;=$D$4,J30&lt;=$D$5),"符合","需调整")</f>
        <v>符合</v>
      </c>
      <c r="L30" s="18"/>
      <c r="M30" s="10" t="s">
        <v>98</v>
      </c>
    </row>
    <row r="31" customFormat="false" ht="96" hidden="false" customHeight="true" outlineLevel="0" collapsed="false">
      <c r="A31" s="14" t="s">
        <v>207</v>
      </c>
      <c r="B31" s="15" t="n">
        <v>8</v>
      </c>
      <c r="C31" s="4" t="s">
        <v>198</v>
      </c>
      <c r="D31" s="16" t="s">
        <v>208</v>
      </c>
      <c r="E31" s="4" t="s">
        <v>209</v>
      </c>
      <c r="F31" s="4" t="s">
        <v>210</v>
      </c>
      <c r="G31" s="4" t="s">
        <v>211</v>
      </c>
      <c r="H31" s="12" t="n">
        <f aca="false">COUNTIF(台词!$A$5:$A$1059,A31)</f>
        <v>35</v>
      </c>
      <c r="I31" s="12" t="n">
        <f aca="false">SUMIF(台词!$A$5:$A$1059,A31,台词!$J$5:$J$1059)</f>
        <v>994</v>
      </c>
      <c r="J31" s="17" t="n">
        <f aca="false">I31/$D$3</f>
        <v>4.51818181818182</v>
      </c>
      <c r="K31" s="7" t="str">
        <f aca="false">IF(AND(J31&gt;=$D$4,J31&lt;=$D$5),"符合","需调整")</f>
        <v>符合</v>
      </c>
      <c r="L31" s="18"/>
      <c r="M31" s="10" t="s">
        <v>98</v>
      </c>
    </row>
    <row r="32" customFormat="false" ht="36" hidden="false" customHeight="true" outlineLevel="0" collapsed="false">
      <c r="A32" s="19" t="s">
        <v>212</v>
      </c>
      <c r="B32" s="20"/>
      <c r="C32" s="20"/>
      <c r="D32" s="20"/>
      <c r="E32" s="20"/>
      <c r="F32" s="20"/>
      <c r="G32" s="20"/>
      <c r="H32" s="19" t="n">
        <f aca="false">SUM(H8:H31)</f>
        <v>1055</v>
      </c>
      <c r="I32" s="19" t="n">
        <f aca="false">SUM(I8:I31)</f>
        <v>22853</v>
      </c>
      <c r="J32" s="21" t="n">
        <f aca="false">SUM(J8:J31)</f>
        <v>103.877272727273</v>
      </c>
      <c r="K32" s="19" t="str">
        <f aca="false">COUNTIF(K8:K31,"符合")&amp;" / "&amp;COUNTA(A8:A31)&amp;" 个符合"</f>
        <v>24 / 24 个符合</v>
      </c>
      <c r="L32" s="20"/>
      <c r="M32" s="20"/>
    </row>
  </sheetData>
  <mergeCells count="4">
    <mergeCell ref="A2:M2"/>
    <mergeCell ref="A3:C3"/>
    <mergeCell ref="A4:C4"/>
    <mergeCell ref="A5:C5"/>
  </mergeCells>
  <dataValidations count="1">
    <dataValidation allowBlank="true" errorStyle="stop" operator="between" showDropDown="false" showErrorMessage="false" showInputMessage="false" sqref="M8:M31" type="list">
      <formula1>"未开始,已分配角色,已录音,已校对"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58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1" t="s">
        <v>213</v>
      </c>
    </row>
    <row r="2" customFormat="false" ht="36" hidden="false" customHeight="true" outlineLevel="0" collapsed="false">
      <c r="A2" s="13" t="s">
        <v>214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31.5" hidden="false" customHeight="true" outlineLevel="0" collapsed="false">
      <c r="A4" s="5" t="s">
        <v>80</v>
      </c>
      <c r="B4" s="5" t="s">
        <v>81</v>
      </c>
      <c r="C4" s="5" t="s">
        <v>215</v>
      </c>
      <c r="D4" s="5" t="s">
        <v>216</v>
      </c>
      <c r="E4" s="5" t="s">
        <v>217</v>
      </c>
      <c r="F4" s="5" t="s">
        <v>218</v>
      </c>
      <c r="G4" s="5" t="s">
        <v>28</v>
      </c>
      <c r="H4" s="5" t="s">
        <v>45</v>
      </c>
      <c r="I4" s="5" t="s">
        <v>47</v>
      </c>
      <c r="J4" s="5" t="s">
        <v>49</v>
      </c>
      <c r="K4" s="5" t="s">
        <v>51</v>
      </c>
    </row>
    <row r="5" customFormat="false" ht="36" hidden="false" customHeight="true" outlineLevel="0" collapsed="false">
      <c r="A5" s="7" t="s">
        <v>92</v>
      </c>
      <c r="B5" s="15" t="n">
        <v>1</v>
      </c>
      <c r="C5" s="7" t="n">
        <v>1</v>
      </c>
      <c r="D5" s="22" t="s">
        <v>219</v>
      </c>
      <c r="E5" s="4" t="s">
        <v>220</v>
      </c>
      <c r="F5" s="23" t="s">
        <v>221</v>
      </c>
      <c r="G5" s="22" t="s">
        <v>42</v>
      </c>
      <c r="H5" s="3"/>
      <c r="I5" s="3"/>
      <c r="J5" s="7" t="n">
        <f aca="false">LEN(E5)-SUMPRODUCT(LEN(E5)-LEN(SUBSTITUTE(E5,{"，","。","？","！","、","…","；","：","《","》"," ","“","”","—","（","）","·"},"")))</f>
        <v>18</v>
      </c>
      <c r="K5" s="23"/>
    </row>
    <row r="6" customFormat="false" ht="21" hidden="false" customHeight="true" outlineLevel="0" collapsed="false">
      <c r="A6" s="7" t="s">
        <v>92</v>
      </c>
      <c r="B6" s="15" t="n">
        <v>1</v>
      </c>
      <c r="C6" s="7" t="n">
        <v>2</v>
      </c>
      <c r="D6" s="22" t="s">
        <v>222</v>
      </c>
      <c r="E6" s="4" t="s">
        <v>223</v>
      </c>
      <c r="F6" s="23" t="s">
        <v>224</v>
      </c>
      <c r="G6" s="22" t="s">
        <v>42</v>
      </c>
      <c r="H6" s="3"/>
      <c r="I6" s="3"/>
      <c r="J6" s="7" t="n">
        <f aca="false">LEN(E6)-SUMPRODUCT(LEN(E6)-LEN(SUBSTITUTE(E6,{"，","。","？","！","、","…","；","：","《","》"," ","“","”","—","（","）","·"},"")))</f>
        <v>3</v>
      </c>
      <c r="K6" s="23"/>
    </row>
    <row r="7" customFormat="false" ht="51" hidden="false" customHeight="true" outlineLevel="0" collapsed="false">
      <c r="A7" s="7" t="s">
        <v>92</v>
      </c>
      <c r="B7" s="15" t="n">
        <v>1</v>
      </c>
      <c r="C7" s="7" t="n">
        <v>3</v>
      </c>
      <c r="D7" s="22" t="s">
        <v>219</v>
      </c>
      <c r="E7" s="4" t="s">
        <v>225</v>
      </c>
      <c r="F7" s="23" t="s">
        <v>226</v>
      </c>
      <c r="G7" s="22" t="s">
        <v>40</v>
      </c>
      <c r="H7" s="3" t="s">
        <v>227</v>
      </c>
      <c r="I7" s="4" t="s">
        <v>228</v>
      </c>
      <c r="J7" s="7" t="n">
        <f aca="false">LEN(E7)-SUMPRODUCT(LEN(E7)-LEN(SUBSTITUTE(E7,{"，","。","？","！","、","…","；","：","《","》"," ","“","”","—","（","）","·"},"")))</f>
        <v>56</v>
      </c>
      <c r="K7" s="23"/>
    </row>
    <row r="8" customFormat="false" ht="36" hidden="false" customHeight="true" outlineLevel="0" collapsed="false">
      <c r="A8" s="7" t="s">
        <v>92</v>
      </c>
      <c r="B8" s="15" t="n">
        <v>1</v>
      </c>
      <c r="C8" s="7" t="n">
        <v>4</v>
      </c>
      <c r="D8" s="22" t="s">
        <v>229</v>
      </c>
      <c r="E8" s="4" t="s">
        <v>230</v>
      </c>
      <c r="F8" s="23" t="s">
        <v>231</v>
      </c>
      <c r="G8" s="22" t="s">
        <v>42</v>
      </c>
      <c r="H8" s="3"/>
      <c r="I8" s="3"/>
      <c r="J8" s="7" t="n">
        <f aca="false">LEN(E8)-SUMPRODUCT(LEN(E8)-LEN(SUBSTITUTE(E8,{"，","。","？","！","、","…","；","：","《","》"," ","“","”","—","（","）","·"},"")))</f>
        <v>3</v>
      </c>
      <c r="K8" s="23"/>
    </row>
    <row r="9" customFormat="false" ht="21" hidden="false" customHeight="true" outlineLevel="0" collapsed="false">
      <c r="A9" s="7" t="s">
        <v>92</v>
      </c>
      <c r="B9" s="15" t="n">
        <v>1</v>
      </c>
      <c r="C9" s="7" t="n">
        <v>5</v>
      </c>
      <c r="D9" s="22" t="s">
        <v>232</v>
      </c>
      <c r="E9" s="4" t="s">
        <v>233</v>
      </c>
      <c r="F9" s="23" t="s">
        <v>234</v>
      </c>
      <c r="G9" s="22" t="s">
        <v>42</v>
      </c>
      <c r="H9" s="3"/>
      <c r="I9" s="3"/>
      <c r="J9" s="7" t="n">
        <f aca="false">LEN(E9)-SUMPRODUCT(LEN(E9)-LEN(SUBSTITUTE(E9,{"，","。","？","！","、","…","；","：","《","》"," ","“","”","—","（","）","·"},"")))</f>
        <v>3</v>
      </c>
      <c r="K9" s="23"/>
    </row>
    <row r="10" customFormat="false" ht="51" hidden="false" customHeight="true" outlineLevel="0" collapsed="false">
      <c r="A10" s="7" t="s">
        <v>92</v>
      </c>
      <c r="B10" s="15" t="n">
        <v>1</v>
      </c>
      <c r="C10" s="7" t="n">
        <v>6</v>
      </c>
      <c r="D10" s="22" t="s">
        <v>219</v>
      </c>
      <c r="E10" s="4" t="s">
        <v>235</v>
      </c>
      <c r="F10" s="23" t="s">
        <v>226</v>
      </c>
      <c r="G10" s="22" t="s">
        <v>40</v>
      </c>
      <c r="H10" s="3" t="s">
        <v>236</v>
      </c>
      <c r="I10" s="4" t="s">
        <v>237</v>
      </c>
      <c r="J10" s="7" t="n">
        <f aca="false">LEN(E10)-SUMPRODUCT(LEN(E10)-LEN(SUBSTITUTE(E10,{"，","。","？","！","、","…","；","：","《","》"," ","“","”","—","（","）","·"},"")))</f>
        <v>48</v>
      </c>
      <c r="K10" s="23"/>
    </row>
    <row r="11" customFormat="false" ht="21" hidden="false" customHeight="true" outlineLevel="0" collapsed="false">
      <c r="A11" s="7" t="s">
        <v>92</v>
      </c>
      <c r="B11" s="15" t="n">
        <v>1</v>
      </c>
      <c r="C11" s="7" t="n">
        <v>7</v>
      </c>
      <c r="D11" s="22" t="s">
        <v>222</v>
      </c>
      <c r="E11" s="4" t="s">
        <v>238</v>
      </c>
      <c r="F11" s="23"/>
      <c r="G11" s="22" t="s">
        <v>42</v>
      </c>
      <c r="H11" s="3"/>
      <c r="I11" s="3"/>
      <c r="J11" s="7" t="n">
        <f aca="false">LEN(E11)-SUMPRODUCT(LEN(E11)-LEN(SUBSTITUTE(E11,{"，","。","？","！","、","…","；","：","《","》"," ","“","”","—","（","）","·"},"")))</f>
        <v>1</v>
      </c>
      <c r="K11" s="23"/>
    </row>
    <row r="12" customFormat="false" ht="51" hidden="false" customHeight="true" outlineLevel="0" collapsed="false">
      <c r="A12" s="7" t="s">
        <v>92</v>
      </c>
      <c r="B12" s="15" t="n">
        <v>1</v>
      </c>
      <c r="C12" s="7" t="n">
        <v>8</v>
      </c>
      <c r="D12" s="22" t="s">
        <v>219</v>
      </c>
      <c r="E12" s="4" t="s">
        <v>239</v>
      </c>
      <c r="F12" s="23" t="s">
        <v>226</v>
      </c>
      <c r="G12" s="22" t="s">
        <v>40</v>
      </c>
      <c r="H12" s="3"/>
      <c r="I12" s="4" t="s">
        <v>240</v>
      </c>
      <c r="J12" s="7" t="n">
        <f aca="false">LEN(E12)-SUMPRODUCT(LEN(E12)-LEN(SUBSTITUTE(E12,{"，","。","？","！","、","…","；","：","《","》"," ","“","”","—","（","）","·"},"")))</f>
        <v>54</v>
      </c>
      <c r="K12" s="23"/>
    </row>
    <row r="13" customFormat="false" ht="36" hidden="false" customHeight="true" outlineLevel="0" collapsed="false">
      <c r="A13" s="7" t="s">
        <v>92</v>
      </c>
      <c r="B13" s="15" t="n">
        <v>1</v>
      </c>
      <c r="C13" s="7" t="n">
        <v>9</v>
      </c>
      <c r="D13" s="22" t="s">
        <v>219</v>
      </c>
      <c r="E13" s="4" t="s">
        <v>241</v>
      </c>
      <c r="F13" s="23" t="s">
        <v>226</v>
      </c>
      <c r="G13" s="22" t="s">
        <v>40</v>
      </c>
      <c r="H13" s="3"/>
      <c r="I13" s="3"/>
      <c r="J13" s="7" t="n">
        <f aca="false">LEN(E13)-SUMPRODUCT(LEN(E13)-LEN(SUBSTITUTE(E13,{"，","。","？","！","、","…","；","：","《","》"," ","“","”","—","（","）","·"},"")))</f>
        <v>35</v>
      </c>
      <c r="K13" s="23"/>
    </row>
    <row r="14" customFormat="false" ht="21" hidden="false" customHeight="true" outlineLevel="0" collapsed="false">
      <c r="A14" s="7" t="s">
        <v>92</v>
      </c>
      <c r="B14" s="15" t="n">
        <v>1</v>
      </c>
      <c r="C14" s="7" t="n">
        <v>10</v>
      </c>
      <c r="D14" s="22" t="s">
        <v>232</v>
      </c>
      <c r="E14" s="4" t="s">
        <v>242</v>
      </c>
      <c r="F14" s="23" t="s">
        <v>243</v>
      </c>
      <c r="G14" s="22" t="s">
        <v>42</v>
      </c>
      <c r="H14" s="3"/>
      <c r="I14" s="3"/>
      <c r="J14" s="7" t="n">
        <f aca="false">LEN(E14)-SUMPRODUCT(LEN(E14)-LEN(SUBSTITUTE(E14,{"，","。","？","！","、","…","；","：","《","》"," ","“","”","—","（","）","·"},"")))</f>
        <v>9</v>
      </c>
      <c r="K14" s="23"/>
    </row>
    <row r="15" customFormat="false" ht="21" hidden="false" customHeight="true" outlineLevel="0" collapsed="false">
      <c r="A15" s="7" t="s">
        <v>92</v>
      </c>
      <c r="B15" s="15" t="n">
        <v>1</v>
      </c>
      <c r="C15" s="7" t="n">
        <v>11</v>
      </c>
      <c r="D15" s="22" t="s">
        <v>222</v>
      </c>
      <c r="E15" s="4" t="s">
        <v>244</v>
      </c>
      <c r="F15" s="23" t="s">
        <v>245</v>
      </c>
      <c r="G15" s="22" t="s">
        <v>42</v>
      </c>
      <c r="H15" s="3"/>
      <c r="I15" s="3"/>
      <c r="J15" s="7" t="n">
        <f aca="false">LEN(E15)-SUMPRODUCT(LEN(E15)-LEN(SUBSTITUTE(E15,{"，","。","？","！","、","…","；","：","《","》"," ","“","”","—","（","）","·"},"")))</f>
        <v>1</v>
      </c>
      <c r="K15" s="23"/>
    </row>
    <row r="16" customFormat="false" ht="51" hidden="false" customHeight="true" outlineLevel="0" collapsed="false">
      <c r="A16" s="7" t="s">
        <v>92</v>
      </c>
      <c r="B16" s="15" t="n">
        <v>1</v>
      </c>
      <c r="C16" s="7" t="n">
        <v>12</v>
      </c>
      <c r="D16" s="22" t="s">
        <v>219</v>
      </c>
      <c r="E16" s="4" t="s">
        <v>246</v>
      </c>
      <c r="F16" s="23" t="s">
        <v>247</v>
      </c>
      <c r="G16" s="22" t="s">
        <v>30</v>
      </c>
      <c r="H16" s="3" t="s">
        <v>248</v>
      </c>
      <c r="I16" s="4" t="s">
        <v>249</v>
      </c>
      <c r="J16" s="7" t="n">
        <f aca="false">LEN(E16)-SUMPRODUCT(LEN(E16)-LEN(SUBSTITUTE(E16,{"，","。","？","！","、","…","；","：","《","》"," ","“","”","—","（","）","·"},"")))</f>
        <v>49</v>
      </c>
      <c r="K16" s="23"/>
    </row>
    <row r="17" customFormat="false" ht="36" hidden="false" customHeight="true" outlineLevel="0" collapsed="false">
      <c r="A17" s="7" t="s">
        <v>92</v>
      </c>
      <c r="B17" s="15" t="n">
        <v>1</v>
      </c>
      <c r="C17" s="7" t="n">
        <v>13</v>
      </c>
      <c r="D17" s="22" t="s">
        <v>219</v>
      </c>
      <c r="E17" s="4" t="s">
        <v>250</v>
      </c>
      <c r="F17" s="23" t="s">
        <v>226</v>
      </c>
      <c r="G17" s="22" t="s">
        <v>30</v>
      </c>
      <c r="H17" s="3"/>
      <c r="I17" s="4" t="s">
        <v>251</v>
      </c>
      <c r="J17" s="7" t="n">
        <f aca="false">LEN(E17)-SUMPRODUCT(LEN(E17)-LEN(SUBSTITUTE(E17,{"，","。","？","！","、","…","；","：","《","》"," ","“","”","—","（","）","·"},"")))</f>
        <v>37</v>
      </c>
      <c r="K17" s="23"/>
    </row>
    <row r="18" customFormat="false" ht="36" hidden="false" customHeight="true" outlineLevel="0" collapsed="false">
      <c r="A18" s="7" t="s">
        <v>92</v>
      </c>
      <c r="B18" s="15" t="n">
        <v>1</v>
      </c>
      <c r="C18" s="7" t="n">
        <v>14</v>
      </c>
      <c r="D18" s="22" t="s">
        <v>222</v>
      </c>
      <c r="E18" s="4" t="s">
        <v>252</v>
      </c>
      <c r="F18" s="23"/>
      <c r="G18" s="22" t="s">
        <v>30</v>
      </c>
      <c r="H18" s="3" t="s">
        <v>253</v>
      </c>
      <c r="I18" s="3"/>
      <c r="J18" s="7" t="n">
        <f aca="false">LEN(E18)-SUMPRODUCT(LEN(E18)-LEN(SUBSTITUTE(E18,{"，","。","？","！","、","…","；","：","《","》"," ","“","”","—","（","）","·"},"")))</f>
        <v>18</v>
      </c>
      <c r="K18" s="23"/>
    </row>
    <row r="19" customFormat="false" ht="51" hidden="false" customHeight="true" outlineLevel="0" collapsed="false">
      <c r="A19" s="7" t="s">
        <v>92</v>
      </c>
      <c r="B19" s="15" t="n">
        <v>1</v>
      </c>
      <c r="C19" s="7" t="n">
        <v>15</v>
      </c>
      <c r="D19" s="22" t="s">
        <v>219</v>
      </c>
      <c r="E19" s="4" t="s">
        <v>254</v>
      </c>
      <c r="F19" s="23" t="s">
        <v>226</v>
      </c>
      <c r="G19" s="22" t="s">
        <v>30</v>
      </c>
      <c r="H19" s="3" t="s">
        <v>255</v>
      </c>
      <c r="I19" s="4" t="s">
        <v>256</v>
      </c>
      <c r="J19" s="7" t="n">
        <f aca="false">LEN(E19)-SUMPRODUCT(LEN(E19)-LEN(SUBSTITUTE(E19,{"，","。","？","！","、","…","；","：","《","》"," ","“","”","—","（","）","·"},"")))</f>
        <v>51</v>
      </c>
      <c r="K19" s="23"/>
    </row>
    <row r="20" customFormat="false" ht="36" hidden="false" customHeight="true" outlineLevel="0" collapsed="false">
      <c r="A20" s="7" t="s">
        <v>92</v>
      </c>
      <c r="B20" s="15" t="n">
        <v>1</v>
      </c>
      <c r="C20" s="7" t="n">
        <v>16</v>
      </c>
      <c r="D20" s="22" t="s">
        <v>229</v>
      </c>
      <c r="E20" s="4" t="s">
        <v>257</v>
      </c>
      <c r="F20" s="23" t="s">
        <v>258</v>
      </c>
      <c r="G20" s="22" t="s">
        <v>40</v>
      </c>
      <c r="H20" s="3"/>
      <c r="I20" s="3"/>
      <c r="J20" s="7" t="n">
        <f aca="false">LEN(E20)-SUMPRODUCT(LEN(E20)-LEN(SUBSTITUTE(E20,{"，","。","？","！","、","…","；","：","《","》"," ","“","”","—","（","）","·"},"")))</f>
        <v>15</v>
      </c>
      <c r="K20" s="23"/>
    </row>
    <row r="21" customFormat="false" ht="21" hidden="false" customHeight="true" outlineLevel="0" collapsed="false">
      <c r="A21" s="7" t="s">
        <v>92</v>
      </c>
      <c r="B21" s="15" t="n">
        <v>1</v>
      </c>
      <c r="C21" s="7" t="n">
        <v>17</v>
      </c>
      <c r="D21" s="22" t="s">
        <v>232</v>
      </c>
      <c r="E21" s="4" t="s">
        <v>259</v>
      </c>
      <c r="F21" s="23" t="s">
        <v>260</v>
      </c>
      <c r="G21" s="22" t="s">
        <v>42</v>
      </c>
      <c r="H21" s="3"/>
      <c r="I21" s="3"/>
      <c r="J21" s="7" t="n">
        <f aca="false">LEN(E21)-SUMPRODUCT(LEN(E21)-LEN(SUBSTITUTE(E21,{"，","。","？","！","、","…","；","：","《","》"," ","“","”","—","（","）","·"},"")))</f>
        <v>2</v>
      </c>
      <c r="K21" s="23"/>
    </row>
    <row r="22" customFormat="false" ht="36" hidden="false" customHeight="true" outlineLevel="0" collapsed="false">
      <c r="A22" s="7" t="s">
        <v>92</v>
      </c>
      <c r="B22" s="15" t="n">
        <v>1</v>
      </c>
      <c r="C22" s="7" t="n">
        <v>18</v>
      </c>
      <c r="D22" s="22" t="s">
        <v>219</v>
      </c>
      <c r="E22" s="4" t="s">
        <v>261</v>
      </c>
      <c r="F22" s="23" t="s">
        <v>262</v>
      </c>
      <c r="G22" s="22" t="s">
        <v>30</v>
      </c>
      <c r="H22" s="3" t="s">
        <v>263</v>
      </c>
      <c r="I22" s="4" t="s">
        <v>264</v>
      </c>
      <c r="J22" s="7" t="n">
        <f aca="false">LEN(E22)-SUMPRODUCT(LEN(E22)-LEN(SUBSTITUTE(E22,{"，","。","？","！","、","…","；","：","《","》"," ","“","”","—","（","）","·"},"")))</f>
        <v>34</v>
      </c>
      <c r="K22" s="23"/>
    </row>
    <row r="23" customFormat="false" ht="51" hidden="false" customHeight="true" outlineLevel="0" collapsed="false">
      <c r="A23" s="7" t="s">
        <v>92</v>
      </c>
      <c r="B23" s="15" t="n">
        <v>1</v>
      </c>
      <c r="C23" s="7" t="n">
        <v>19</v>
      </c>
      <c r="D23" s="22" t="s">
        <v>219</v>
      </c>
      <c r="E23" s="4" t="s">
        <v>265</v>
      </c>
      <c r="F23" s="23" t="s">
        <v>226</v>
      </c>
      <c r="G23" s="22" t="s">
        <v>32</v>
      </c>
      <c r="H23" s="3" t="s">
        <v>266</v>
      </c>
      <c r="I23" s="4" t="s">
        <v>267</v>
      </c>
      <c r="J23" s="7" t="n">
        <f aca="false">LEN(E23)-SUMPRODUCT(LEN(E23)-LEN(SUBSTITUTE(E23,{"，","。","？","！","、","…","；","：","《","》"," ","“","”","—","（","）","·"},"")))</f>
        <v>44</v>
      </c>
      <c r="K23" s="23"/>
    </row>
    <row r="24" customFormat="false" ht="36" hidden="false" customHeight="true" outlineLevel="0" collapsed="false">
      <c r="A24" s="7" t="s">
        <v>92</v>
      </c>
      <c r="B24" s="15" t="n">
        <v>1</v>
      </c>
      <c r="C24" s="7" t="n">
        <v>20</v>
      </c>
      <c r="D24" s="22" t="s">
        <v>222</v>
      </c>
      <c r="E24" s="4" t="s">
        <v>268</v>
      </c>
      <c r="F24" s="23"/>
      <c r="G24" s="22" t="s">
        <v>30</v>
      </c>
      <c r="H24" s="3"/>
      <c r="I24" s="4" t="s">
        <v>269</v>
      </c>
      <c r="J24" s="7" t="n">
        <f aca="false">LEN(E24)-SUMPRODUCT(LEN(E24)-LEN(SUBSTITUTE(E24,{"，","。","？","！","、","…","；","：","《","》"," ","“","”","—","（","）","·"},"")))</f>
        <v>19</v>
      </c>
      <c r="K24" s="23"/>
    </row>
    <row r="25" customFormat="false" ht="36" hidden="false" customHeight="true" outlineLevel="0" collapsed="false">
      <c r="A25" s="7" t="s">
        <v>92</v>
      </c>
      <c r="B25" s="15" t="n">
        <v>1</v>
      </c>
      <c r="C25" s="7" t="n">
        <v>21</v>
      </c>
      <c r="D25" s="22" t="s">
        <v>219</v>
      </c>
      <c r="E25" s="4" t="s">
        <v>270</v>
      </c>
      <c r="F25" s="23" t="s">
        <v>226</v>
      </c>
      <c r="G25" s="22" t="s">
        <v>30</v>
      </c>
      <c r="H25" s="3"/>
      <c r="I25" s="3"/>
      <c r="J25" s="7" t="n">
        <f aca="false">LEN(E25)-SUMPRODUCT(LEN(E25)-LEN(SUBSTITUTE(E25,{"，","。","？","！","、","…","；","：","《","》"," ","“","”","—","（","）","·"},"")))</f>
        <v>16</v>
      </c>
      <c r="K25" s="23"/>
    </row>
    <row r="26" customFormat="false" ht="36" hidden="false" customHeight="true" outlineLevel="0" collapsed="false">
      <c r="A26" s="7" t="s">
        <v>92</v>
      </c>
      <c r="B26" s="15" t="n">
        <v>1</v>
      </c>
      <c r="C26" s="7" t="n">
        <v>22</v>
      </c>
      <c r="D26" s="22" t="s">
        <v>222</v>
      </c>
      <c r="E26" s="4" t="s">
        <v>271</v>
      </c>
      <c r="F26" s="23"/>
      <c r="G26" s="22" t="s">
        <v>30</v>
      </c>
      <c r="H26" s="3"/>
      <c r="I26" s="3"/>
      <c r="J26" s="7" t="n">
        <f aca="false">LEN(E26)-SUMPRODUCT(LEN(E26)-LEN(SUBSTITUTE(E26,{"，","。","？","！","、","…","；","：","《","》"," ","“","”","—","（","）","·"},"")))</f>
        <v>9</v>
      </c>
      <c r="K26" s="23"/>
    </row>
    <row r="27" customFormat="false" ht="36" hidden="false" customHeight="true" outlineLevel="0" collapsed="false">
      <c r="A27" s="7" t="s">
        <v>92</v>
      </c>
      <c r="B27" s="15" t="n">
        <v>1</v>
      </c>
      <c r="C27" s="7" t="n">
        <v>23</v>
      </c>
      <c r="D27" s="22" t="s">
        <v>232</v>
      </c>
      <c r="E27" s="4" t="s">
        <v>272</v>
      </c>
      <c r="F27" s="23" t="s">
        <v>243</v>
      </c>
      <c r="G27" s="22" t="s">
        <v>30</v>
      </c>
      <c r="H27" s="3"/>
      <c r="I27" s="3"/>
      <c r="J27" s="7" t="n">
        <f aca="false">LEN(E27)-SUMPRODUCT(LEN(E27)-LEN(SUBSTITUTE(E27,{"，","。","？","！","、","…","；","：","《","》"," ","“","”","—","（","）","·"},"")))</f>
        <v>21</v>
      </c>
      <c r="K27" s="23"/>
    </row>
    <row r="28" customFormat="false" ht="21" hidden="false" customHeight="true" outlineLevel="0" collapsed="false">
      <c r="A28" s="7" t="s">
        <v>92</v>
      </c>
      <c r="B28" s="15" t="n">
        <v>1</v>
      </c>
      <c r="C28" s="7" t="n">
        <v>24</v>
      </c>
      <c r="D28" s="22" t="s">
        <v>222</v>
      </c>
      <c r="E28" s="4" t="s">
        <v>273</v>
      </c>
      <c r="F28" s="23" t="s">
        <v>245</v>
      </c>
      <c r="G28" s="22" t="s">
        <v>42</v>
      </c>
      <c r="H28" s="3"/>
      <c r="I28" s="3"/>
      <c r="J28" s="7" t="n">
        <f aca="false">LEN(E28)-SUMPRODUCT(LEN(E28)-LEN(SUBSTITUTE(E28,{"，","。","？","！","、","…","；","：","《","》"," ","“","”","—","（","）","·"},"")))</f>
        <v>3</v>
      </c>
      <c r="K28" s="23"/>
    </row>
    <row r="29" customFormat="false" ht="36" hidden="false" customHeight="true" outlineLevel="0" collapsed="false">
      <c r="A29" s="7" t="s">
        <v>92</v>
      </c>
      <c r="B29" s="15" t="n">
        <v>1</v>
      </c>
      <c r="C29" s="7" t="n">
        <v>25</v>
      </c>
      <c r="D29" s="22" t="s">
        <v>219</v>
      </c>
      <c r="E29" s="4" t="s">
        <v>274</v>
      </c>
      <c r="F29" s="23" t="s">
        <v>226</v>
      </c>
      <c r="G29" s="22" t="s">
        <v>30</v>
      </c>
      <c r="H29" s="3"/>
      <c r="I29" s="4" t="s">
        <v>275</v>
      </c>
      <c r="J29" s="7" t="n">
        <f aca="false">LEN(E29)-SUMPRODUCT(LEN(E29)-LEN(SUBSTITUTE(E29,{"，","。","？","！","、","…","；","：","《","》"," ","“","”","—","（","）","·"},"")))</f>
        <v>14</v>
      </c>
      <c r="K29" s="23"/>
    </row>
    <row r="30" customFormat="false" ht="36" hidden="false" customHeight="true" outlineLevel="0" collapsed="false">
      <c r="A30" s="7" t="s">
        <v>92</v>
      </c>
      <c r="B30" s="15" t="n">
        <v>1</v>
      </c>
      <c r="C30" s="7" t="n">
        <v>26</v>
      </c>
      <c r="D30" s="22" t="s">
        <v>232</v>
      </c>
      <c r="E30" s="4" t="s">
        <v>276</v>
      </c>
      <c r="F30" s="23"/>
      <c r="G30" s="22" t="s">
        <v>30</v>
      </c>
      <c r="H30" s="3"/>
      <c r="I30" s="3"/>
      <c r="J30" s="7" t="n">
        <f aca="false">LEN(E30)-SUMPRODUCT(LEN(E30)-LEN(SUBSTITUTE(E30,{"，","。","？","！","、","…","；","：","《","》"," ","“","”","—","（","）","·"},"")))</f>
        <v>12</v>
      </c>
      <c r="K30" s="23"/>
    </row>
    <row r="31" customFormat="false" ht="36" hidden="false" customHeight="true" outlineLevel="0" collapsed="false">
      <c r="A31" s="7" t="s">
        <v>92</v>
      </c>
      <c r="B31" s="15" t="n">
        <v>1</v>
      </c>
      <c r="C31" s="7" t="n">
        <v>27</v>
      </c>
      <c r="D31" s="22" t="s">
        <v>219</v>
      </c>
      <c r="E31" s="4" t="s">
        <v>277</v>
      </c>
      <c r="F31" s="23" t="s">
        <v>278</v>
      </c>
      <c r="G31" s="22" t="s">
        <v>30</v>
      </c>
      <c r="H31" s="3"/>
      <c r="I31" s="4" t="s">
        <v>279</v>
      </c>
      <c r="J31" s="7" t="n">
        <f aca="false">LEN(E31)-SUMPRODUCT(LEN(E31)-LEN(SUBSTITUTE(E31,{"，","。","？","！","、","…","；","：","《","》"," ","“","”","—","（","）","·"},"")))</f>
        <v>19</v>
      </c>
      <c r="K31" s="23"/>
    </row>
    <row r="32" customFormat="false" ht="36" hidden="false" customHeight="true" outlineLevel="0" collapsed="false">
      <c r="A32" s="7" t="s">
        <v>92</v>
      </c>
      <c r="B32" s="15" t="n">
        <v>1</v>
      </c>
      <c r="C32" s="7" t="n">
        <v>28</v>
      </c>
      <c r="D32" s="22" t="s">
        <v>232</v>
      </c>
      <c r="E32" s="4" t="s">
        <v>280</v>
      </c>
      <c r="F32" s="23" t="s">
        <v>234</v>
      </c>
      <c r="G32" s="22" t="s">
        <v>30</v>
      </c>
      <c r="H32" s="3"/>
      <c r="I32" s="3"/>
      <c r="J32" s="7" t="n">
        <f aca="false">LEN(E32)-SUMPRODUCT(LEN(E32)-LEN(SUBSTITUTE(E32,{"，","。","？","！","、","…","；","：","《","》"," ","“","”","—","（","）","·"},"")))</f>
        <v>12</v>
      </c>
      <c r="K32" s="23"/>
    </row>
    <row r="33" customFormat="false" ht="36" hidden="false" customHeight="true" outlineLevel="0" collapsed="false">
      <c r="A33" s="7" t="s">
        <v>92</v>
      </c>
      <c r="B33" s="15" t="n">
        <v>1</v>
      </c>
      <c r="C33" s="7" t="n">
        <v>29</v>
      </c>
      <c r="D33" s="22" t="s">
        <v>219</v>
      </c>
      <c r="E33" s="4" t="s">
        <v>281</v>
      </c>
      <c r="F33" s="23" t="s">
        <v>282</v>
      </c>
      <c r="G33" s="22" t="s">
        <v>30</v>
      </c>
      <c r="H33" s="3"/>
      <c r="I33" s="3"/>
      <c r="J33" s="7" t="n">
        <f aca="false">LEN(E33)-SUMPRODUCT(LEN(E33)-LEN(SUBSTITUTE(E33,{"，","。","？","！","、","…","；","：","《","》"," ","“","”","—","（","）","·"},"")))</f>
        <v>19</v>
      </c>
      <c r="K33" s="23"/>
    </row>
    <row r="34" customFormat="false" ht="21" hidden="false" customHeight="true" outlineLevel="0" collapsed="false">
      <c r="A34" s="7" t="s">
        <v>92</v>
      </c>
      <c r="B34" s="15" t="n">
        <v>1</v>
      </c>
      <c r="C34" s="7" t="n">
        <v>30</v>
      </c>
      <c r="D34" s="22" t="s">
        <v>232</v>
      </c>
      <c r="E34" s="4" t="s">
        <v>244</v>
      </c>
      <c r="F34" s="23"/>
      <c r="G34" s="22" t="s">
        <v>42</v>
      </c>
      <c r="H34" s="3"/>
      <c r="I34" s="3"/>
      <c r="J34" s="7" t="n">
        <f aca="false">LEN(E34)-SUMPRODUCT(LEN(E34)-LEN(SUBSTITUTE(E34,{"，","。","？","！","、","…","；","：","《","》"," ","“","”","—","（","）","·"},"")))</f>
        <v>1</v>
      </c>
      <c r="K34" s="23"/>
    </row>
    <row r="35" customFormat="false" ht="21" hidden="false" customHeight="true" outlineLevel="0" collapsed="false">
      <c r="A35" s="7" t="s">
        <v>92</v>
      </c>
      <c r="B35" s="15" t="n">
        <v>1</v>
      </c>
      <c r="C35" s="7" t="n">
        <v>31</v>
      </c>
      <c r="D35" s="22" t="s">
        <v>229</v>
      </c>
      <c r="E35" s="4" t="s">
        <v>283</v>
      </c>
      <c r="F35" s="23" t="s">
        <v>284</v>
      </c>
      <c r="G35" s="22" t="s">
        <v>42</v>
      </c>
      <c r="H35" s="3"/>
      <c r="I35" s="4" t="s">
        <v>269</v>
      </c>
      <c r="J35" s="7" t="n">
        <f aca="false">LEN(E35)-SUMPRODUCT(LEN(E35)-LEN(SUBSTITUTE(E35,{"，","。","？","！","、","…","；","：","《","》"," ","“","”","—","（","）","·"},"")))</f>
        <v>8</v>
      </c>
      <c r="K35" s="23"/>
    </row>
    <row r="36" customFormat="false" ht="36" hidden="false" customHeight="true" outlineLevel="0" collapsed="false">
      <c r="A36" s="7" t="s">
        <v>92</v>
      </c>
      <c r="B36" s="15" t="n">
        <v>1</v>
      </c>
      <c r="C36" s="7" t="n">
        <v>32</v>
      </c>
      <c r="D36" s="22" t="s">
        <v>219</v>
      </c>
      <c r="E36" s="4" t="s">
        <v>285</v>
      </c>
      <c r="F36" s="23" t="s">
        <v>286</v>
      </c>
      <c r="G36" s="22" t="s">
        <v>42</v>
      </c>
      <c r="H36" s="3"/>
      <c r="I36" s="3"/>
      <c r="J36" s="7" t="n">
        <f aca="false">LEN(E36)-SUMPRODUCT(LEN(E36)-LEN(SUBSTITUTE(E36,{"，","。","？","！","、","…","；","：","《","》"," ","“","”","—","（","）","·"},"")))</f>
        <v>2</v>
      </c>
      <c r="K36" s="23"/>
    </row>
    <row r="37" customFormat="false" ht="51" hidden="false" customHeight="true" outlineLevel="0" collapsed="false">
      <c r="A37" s="7" t="s">
        <v>92</v>
      </c>
      <c r="B37" s="15" t="n">
        <v>1</v>
      </c>
      <c r="C37" s="7" t="n">
        <v>33</v>
      </c>
      <c r="D37" s="22" t="s">
        <v>222</v>
      </c>
      <c r="E37" s="4" t="s">
        <v>287</v>
      </c>
      <c r="F37" s="23" t="s">
        <v>288</v>
      </c>
      <c r="G37" s="22" t="s">
        <v>34</v>
      </c>
      <c r="H37" s="3"/>
      <c r="I37" s="4" t="s">
        <v>289</v>
      </c>
      <c r="J37" s="7" t="n">
        <f aca="false">LEN(E37)-SUMPRODUCT(LEN(E37)-LEN(SUBSTITUTE(E37,{"，","。","？","！","、","…","；","：","《","》"," ","“","”","—","（","）","·"},"")))</f>
        <v>15</v>
      </c>
      <c r="K37" s="23"/>
    </row>
    <row r="38" customFormat="false" ht="36" hidden="false" customHeight="true" outlineLevel="0" collapsed="false">
      <c r="A38" s="7" t="s">
        <v>92</v>
      </c>
      <c r="B38" s="15" t="n">
        <v>1</v>
      </c>
      <c r="C38" s="7" t="n">
        <v>34</v>
      </c>
      <c r="D38" s="22" t="s">
        <v>219</v>
      </c>
      <c r="E38" s="4" t="s">
        <v>290</v>
      </c>
      <c r="F38" s="23" t="s">
        <v>226</v>
      </c>
      <c r="G38" s="22" t="s">
        <v>34</v>
      </c>
      <c r="H38" s="3" t="s">
        <v>291</v>
      </c>
      <c r="I38" s="4" t="s">
        <v>240</v>
      </c>
      <c r="J38" s="7" t="n">
        <f aca="false">LEN(E38)-SUMPRODUCT(LEN(E38)-LEN(SUBSTITUTE(E38,{"，","。","？","！","、","…","；","：","《","》"," ","“","”","—","（","）","·"},"")))</f>
        <v>28</v>
      </c>
      <c r="K38" s="23"/>
    </row>
    <row r="39" customFormat="false" ht="21" hidden="false" customHeight="true" outlineLevel="0" collapsed="false">
      <c r="A39" s="7" t="s">
        <v>92</v>
      </c>
      <c r="B39" s="15" t="n">
        <v>1</v>
      </c>
      <c r="C39" s="7" t="n">
        <v>35</v>
      </c>
      <c r="D39" s="22" t="s">
        <v>232</v>
      </c>
      <c r="E39" s="4" t="s">
        <v>292</v>
      </c>
      <c r="F39" s="23"/>
      <c r="G39" s="22" t="s">
        <v>42</v>
      </c>
      <c r="H39" s="3"/>
      <c r="I39" s="3"/>
      <c r="J39" s="7" t="n">
        <f aca="false">LEN(E39)-SUMPRODUCT(LEN(E39)-LEN(SUBSTITUTE(E39,{"，","。","？","！","、","…","；","：","《","》"," ","“","”","—","（","）","·"},"")))</f>
        <v>3</v>
      </c>
      <c r="K39" s="23"/>
    </row>
    <row r="40" customFormat="false" ht="21" hidden="false" customHeight="true" outlineLevel="0" collapsed="false">
      <c r="A40" s="7" t="s">
        <v>92</v>
      </c>
      <c r="B40" s="15" t="n">
        <v>1</v>
      </c>
      <c r="C40" s="7" t="n">
        <v>36</v>
      </c>
      <c r="D40" s="22" t="s">
        <v>232</v>
      </c>
      <c r="E40" s="4" t="s">
        <v>293</v>
      </c>
      <c r="F40" s="23" t="s">
        <v>282</v>
      </c>
      <c r="G40" s="22" t="s">
        <v>32</v>
      </c>
      <c r="H40" s="3" t="s">
        <v>294</v>
      </c>
      <c r="I40" s="4" t="s">
        <v>295</v>
      </c>
      <c r="J40" s="7" t="n">
        <f aca="false">LEN(E40)-SUMPRODUCT(LEN(E40)-LEN(SUBSTITUTE(E40,{"，","。","？","！","、","…","；","：","《","》"," ","“","”","—","（","）","·"},"")))</f>
        <v>16</v>
      </c>
      <c r="K40" s="23"/>
    </row>
    <row r="41" customFormat="false" ht="36" hidden="false" customHeight="true" outlineLevel="0" collapsed="false">
      <c r="A41" s="7" t="s">
        <v>92</v>
      </c>
      <c r="B41" s="15" t="n">
        <v>1</v>
      </c>
      <c r="C41" s="7" t="n">
        <v>37</v>
      </c>
      <c r="D41" s="22" t="s">
        <v>219</v>
      </c>
      <c r="E41" s="4" t="s">
        <v>296</v>
      </c>
      <c r="F41" s="23" t="s">
        <v>226</v>
      </c>
      <c r="G41" s="22" t="s">
        <v>30</v>
      </c>
      <c r="H41" s="3"/>
      <c r="I41" s="3"/>
      <c r="J41" s="7" t="n">
        <f aca="false">LEN(E41)-SUMPRODUCT(LEN(E41)-LEN(SUBSTITUTE(E41,{"，","。","？","！","、","…","；","：","《","》"," ","“","”","—","（","）","·"},"")))</f>
        <v>38</v>
      </c>
      <c r="K41" s="23"/>
    </row>
    <row r="42" customFormat="false" ht="36" hidden="false" customHeight="true" outlineLevel="0" collapsed="false">
      <c r="A42" s="7" t="s">
        <v>92</v>
      </c>
      <c r="B42" s="15" t="n">
        <v>1</v>
      </c>
      <c r="C42" s="7" t="n">
        <v>38</v>
      </c>
      <c r="D42" s="22" t="s">
        <v>232</v>
      </c>
      <c r="E42" s="4" t="s">
        <v>297</v>
      </c>
      <c r="F42" s="23" t="s">
        <v>243</v>
      </c>
      <c r="G42" s="22" t="s">
        <v>30</v>
      </c>
      <c r="H42" s="3"/>
      <c r="I42" s="3"/>
      <c r="J42" s="7" t="n">
        <f aca="false">LEN(E42)-SUMPRODUCT(LEN(E42)-LEN(SUBSTITUTE(E42,{"，","。","？","！","、","…","；","：","《","》"," ","“","”","—","（","）","·"},"")))</f>
        <v>6</v>
      </c>
      <c r="K42" s="23"/>
    </row>
    <row r="43" customFormat="false" ht="36" hidden="false" customHeight="true" outlineLevel="0" collapsed="false">
      <c r="A43" s="7" t="s">
        <v>92</v>
      </c>
      <c r="B43" s="15" t="n">
        <v>1</v>
      </c>
      <c r="C43" s="7" t="n">
        <v>39</v>
      </c>
      <c r="D43" s="22" t="s">
        <v>222</v>
      </c>
      <c r="E43" s="4" t="s">
        <v>298</v>
      </c>
      <c r="F43" s="23" t="s">
        <v>245</v>
      </c>
      <c r="G43" s="22" t="s">
        <v>30</v>
      </c>
      <c r="H43" s="3" t="s">
        <v>299</v>
      </c>
      <c r="I43" s="3"/>
      <c r="J43" s="7" t="n">
        <f aca="false">LEN(E43)-SUMPRODUCT(LEN(E43)-LEN(SUBSTITUTE(E43,{"，","。","？","！","、","…","；","：","《","》"," ","“","”","—","（","）","·"},"")))</f>
        <v>14</v>
      </c>
      <c r="K43" s="23"/>
    </row>
    <row r="44" customFormat="false" ht="21" hidden="false" customHeight="true" outlineLevel="0" collapsed="false">
      <c r="A44" s="7" t="s">
        <v>92</v>
      </c>
      <c r="B44" s="15" t="n">
        <v>1</v>
      </c>
      <c r="C44" s="7" t="n">
        <v>40</v>
      </c>
      <c r="D44" s="22" t="s">
        <v>232</v>
      </c>
      <c r="E44" s="4" t="s">
        <v>300</v>
      </c>
      <c r="F44" s="23" t="s">
        <v>245</v>
      </c>
      <c r="G44" s="22" t="s">
        <v>42</v>
      </c>
      <c r="H44" s="3"/>
      <c r="I44" s="3"/>
      <c r="J44" s="7" t="n">
        <f aca="false">LEN(E44)-SUMPRODUCT(LEN(E44)-LEN(SUBSTITUTE(E44,{"，","。","？","！","、","…","；","：","《","》"," ","“","”","—","（","）","·"},"")))</f>
        <v>1</v>
      </c>
      <c r="K44" s="23"/>
    </row>
    <row r="45" customFormat="false" ht="51" hidden="false" customHeight="true" outlineLevel="0" collapsed="false">
      <c r="A45" s="7" t="s">
        <v>92</v>
      </c>
      <c r="B45" s="15" t="n">
        <v>1</v>
      </c>
      <c r="C45" s="7" t="n">
        <v>41</v>
      </c>
      <c r="D45" s="22" t="s">
        <v>219</v>
      </c>
      <c r="E45" s="4" t="s">
        <v>301</v>
      </c>
      <c r="F45" s="23" t="s">
        <v>302</v>
      </c>
      <c r="G45" s="22" t="s">
        <v>40</v>
      </c>
      <c r="H45" s="3"/>
      <c r="I45" s="4" t="s">
        <v>240</v>
      </c>
      <c r="J45" s="7" t="n">
        <f aca="false">LEN(E45)-SUMPRODUCT(LEN(E45)-LEN(SUBSTITUTE(E45,{"，","。","？","！","、","…","；","：","《","》"," ","“","”","—","（","）","·"},"")))</f>
        <v>26</v>
      </c>
      <c r="K45" s="23"/>
    </row>
    <row r="46" customFormat="false" ht="21" hidden="false" customHeight="true" outlineLevel="0" collapsed="false">
      <c r="A46" s="7" t="s">
        <v>92</v>
      </c>
      <c r="B46" s="15" t="n">
        <v>1</v>
      </c>
      <c r="C46" s="7" t="n">
        <v>42</v>
      </c>
      <c r="D46" s="22" t="s">
        <v>222</v>
      </c>
      <c r="E46" s="4" t="s">
        <v>303</v>
      </c>
      <c r="F46" s="23"/>
      <c r="G46" s="22" t="s">
        <v>42</v>
      </c>
      <c r="H46" s="3"/>
      <c r="I46" s="3"/>
      <c r="J46" s="7" t="n">
        <f aca="false">LEN(E46)-SUMPRODUCT(LEN(E46)-LEN(SUBSTITUTE(E46,{"，","。","？","！","、","…","；","：","《","》"," ","“","”","—","（","）","·"},"")))</f>
        <v>12</v>
      </c>
      <c r="K46" s="23"/>
    </row>
    <row r="47" customFormat="false" ht="21" hidden="false" customHeight="true" outlineLevel="0" collapsed="false">
      <c r="A47" s="7" t="s">
        <v>92</v>
      </c>
      <c r="B47" s="15" t="n">
        <v>1</v>
      </c>
      <c r="C47" s="7" t="n">
        <v>43</v>
      </c>
      <c r="D47" s="22" t="s">
        <v>219</v>
      </c>
      <c r="E47" s="4" t="s">
        <v>304</v>
      </c>
      <c r="F47" s="23" t="s">
        <v>305</v>
      </c>
      <c r="G47" s="22" t="s">
        <v>42</v>
      </c>
      <c r="H47" s="3"/>
      <c r="I47" s="3"/>
      <c r="J47" s="7" t="n">
        <f aca="false">LEN(E47)-SUMPRODUCT(LEN(E47)-LEN(SUBSTITUTE(E47,{"，","。","？","！","、","…","；","：","《","》"," ","“","”","—","（","）","·"},"")))</f>
        <v>3</v>
      </c>
      <c r="K47" s="23"/>
    </row>
    <row r="48" customFormat="false" ht="21" hidden="false" customHeight="true" outlineLevel="0" collapsed="false">
      <c r="A48" s="7" t="s">
        <v>92</v>
      </c>
      <c r="B48" s="15" t="n">
        <v>1</v>
      </c>
      <c r="C48" s="7" t="n">
        <v>44</v>
      </c>
      <c r="D48" s="22" t="s">
        <v>222</v>
      </c>
      <c r="E48" s="4" t="s">
        <v>306</v>
      </c>
      <c r="F48" s="23"/>
      <c r="G48" s="22" t="s">
        <v>42</v>
      </c>
      <c r="H48" s="3"/>
      <c r="I48" s="3"/>
      <c r="J48" s="7" t="n">
        <f aca="false">LEN(E48)-SUMPRODUCT(LEN(E48)-LEN(SUBSTITUTE(E48,{"，","。","？","！","、","…","；","：","《","》"," ","“","”","—","（","）","·"},"")))</f>
        <v>2</v>
      </c>
      <c r="K48" s="23"/>
    </row>
    <row r="49" customFormat="false" ht="51" hidden="false" customHeight="true" outlineLevel="0" collapsed="false">
      <c r="A49" s="7" t="s">
        <v>92</v>
      </c>
      <c r="B49" s="15" t="n">
        <v>1</v>
      </c>
      <c r="C49" s="7" t="n">
        <v>45</v>
      </c>
      <c r="D49" s="22" t="s">
        <v>219</v>
      </c>
      <c r="E49" s="4" t="s">
        <v>307</v>
      </c>
      <c r="F49" s="23" t="s">
        <v>226</v>
      </c>
      <c r="G49" s="22" t="s">
        <v>40</v>
      </c>
      <c r="H49" s="3" t="s">
        <v>308</v>
      </c>
      <c r="I49" s="3"/>
      <c r="J49" s="7" t="n">
        <f aca="false">LEN(E49)-SUMPRODUCT(LEN(E49)-LEN(SUBSTITUTE(E49,{"，","。","？","！","、","…","；","：","《","》"," ","“","”","—","（","）","·"},"")))</f>
        <v>63</v>
      </c>
      <c r="K49" s="23"/>
    </row>
    <row r="50" customFormat="false" ht="36" hidden="false" customHeight="true" outlineLevel="0" collapsed="false">
      <c r="A50" s="7" t="s">
        <v>92</v>
      </c>
      <c r="B50" s="15" t="n">
        <v>1</v>
      </c>
      <c r="C50" s="7" t="n">
        <v>46</v>
      </c>
      <c r="D50" s="22" t="s">
        <v>219</v>
      </c>
      <c r="E50" s="4" t="s">
        <v>309</v>
      </c>
      <c r="F50" s="23" t="s">
        <v>226</v>
      </c>
      <c r="G50" s="22" t="s">
        <v>40</v>
      </c>
      <c r="H50" s="3"/>
      <c r="I50" s="4" t="s">
        <v>310</v>
      </c>
      <c r="J50" s="7" t="n">
        <f aca="false">LEN(E50)-SUMPRODUCT(LEN(E50)-LEN(SUBSTITUTE(E50,{"，","。","？","！","、","…","；","：","《","》"," ","“","”","—","（","）","·"},"")))</f>
        <v>28</v>
      </c>
      <c r="K50" s="23"/>
    </row>
    <row r="51" customFormat="false" ht="21" hidden="false" customHeight="true" outlineLevel="0" collapsed="false">
      <c r="A51" s="7" t="s">
        <v>92</v>
      </c>
      <c r="B51" s="15" t="n">
        <v>1</v>
      </c>
      <c r="C51" s="7" t="n">
        <v>47</v>
      </c>
      <c r="D51" s="22" t="s">
        <v>222</v>
      </c>
      <c r="E51" s="4" t="s">
        <v>311</v>
      </c>
      <c r="F51" s="23"/>
      <c r="G51" s="22" t="s">
        <v>42</v>
      </c>
      <c r="H51" s="3" t="s">
        <v>312</v>
      </c>
      <c r="I51" s="3"/>
      <c r="J51" s="7" t="n">
        <f aca="false">LEN(E51)-SUMPRODUCT(LEN(E51)-LEN(SUBSTITUTE(E51,{"，","。","？","！","、","…","；","：","《","》"," ","“","”","—","（","）","·"},"")))</f>
        <v>10</v>
      </c>
      <c r="K51" s="23"/>
    </row>
    <row r="52" customFormat="false" ht="36" hidden="false" customHeight="true" outlineLevel="0" collapsed="false">
      <c r="A52" s="7" t="s">
        <v>92</v>
      </c>
      <c r="B52" s="15" t="n">
        <v>1</v>
      </c>
      <c r="C52" s="7" t="n">
        <v>48</v>
      </c>
      <c r="D52" s="22" t="s">
        <v>219</v>
      </c>
      <c r="E52" s="4" t="s">
        <v>313</v>
      </c>
      <c r="F52" s="23" t="s">
        <v>226</v>
      </c>
      <c r="G52" s="22" t="s">
        <v>32</v>
      </c>
      <c r="H52" s="3" t="s">
        <v>314</v>
      </c>
      <c r="I52" s="3"/>
      <c r="J52" s="7" t="n">
        <f aca="false">LEN(E52)-SUMPRODUCT(LEN(E52)-LEN(SUBSTITUTE(E52,{"，","。","？","！","、","…","；","：","《","》"," ","“","”","—","（","）","·"},"")))</f>
        <v>29</v>
      </c>
      <c r="K52" s="23"/>
    </row>
    <row r="53" customFormat="false" ht="21" hidden="false" customHeight="true" outlineLevel="0" collapsed="false">
      <c r="A53" s="7" t="s">
        <v>92</v>
      </c>
      <c r="B53" s="15" t="n">
        <v>1</v>
      </c>
      <c r="C53" s="7" t="n">
        <v>49</v>
      </c>
      <c r="D53" s="22" t="s">
        <v>232</v>
      </c>
      <c r="E53" s="4" t="s">
        <v>238</v>
      </c>
      <c r="F53" s="23"/>
      <c r="G53" s="22" t="s">
        <v>42</v>
      </c>
      <c r="H53" s="3"/>
      <c r="I53" s="3"/>
      <c r="J53" s="7" t="n">
        <f aca="false">LEN(E53)-SUMPRODUCT(LEN(E53)-LEN(SUBSTITUTE(E53,{"，","。","？","！","、","…","；","：","《","》"," ","“","”","—","（","）","·"},"")))</f>
        <v>1</v>
      </c>
      <c r="K53" s="23"/>
    </row>
    <row r="54" customFormat="false" ht="36" hidden="false" customHeight="true" outlineLevel="0" collapsed="false">
      <c r="A54" s="7" t="s">
        <v>92</v>
      </c>
      <c r="B54" s="15" t="n">
        <v>1</v>
      </c>
      <c r="C54" s="7" t="n">
        <v>50</v>
      </c>
      <c r="D54" s="22" t="s">
        <v>229</v>
      </c>
      <c r="E54" s="4" t="s">
        <v>315</v>
      </c>
      <c r="F54" s="23" t="s">
        <v>316</v>
      </c>
      <c r="G54" s="22" t="s">
        <v>40</v>
      </c>
      <c r="H54" s="3"/>
      <c r="I54" s="3"/>
      <c r="J54" s="7" t="n">
        <f aca="false">LEN(E54)-SUMPRODUCT(LEN(E54)-LEN(SUBSTITUTE(E54,{"，","。","？","！","、","…","；","：","《","》"," ","“","”","—","（","）","·"},"")))</f>
        <v>14</v>
      </c>
      <c r="K54" s="23"/>
    </row>
    <row r="55" customFormat="false" ht="21" hidden="false" customHeight="true" outlineLevel="0" collapsed="false">
      <c r="A55" s="7" t="s">
        <v>92</v>
      </c>
      <c r="B55" s="15" t="n">
        <v>1</v>
      </c>
      <c r="C55" s="7" t="n">
        <v>51</v>
      </c>
      <c r="D55" s="22" t="s">
        <v>232</v>
      </c>
      <c r="E55" s="4" t="s">
        <v>273</v>
      </c>
      <c r="F55" s="23"/>
      <c r="G55" s="22" t="s">
        <v>42</v>
      </c>
      <c r="H55" s="3"/>
      <c r="I55" s="3"/>
      <c r="J55" s="7" t="n">
        <f aca="false">LEN(E55)-SUMPRODUCT(LEN(E55)-LEN(SUBSTITUTE(E55,{"，","。","？","！","、","…","；","：","《","》"," ","“","”","—","（","）","·"},"")))</f>
        <v>3</v>
      </c>
      <c r="K55" s="23"/>
    </row>
    <row r="56" customFormat="false" ht="36" hidden="false" customHeight="true" outlineLevel="0" collapsed="false">
      <c r="A56" s="7" t="s">
        <v>92</v>
      </c>
      <c r="B56" s="15" t="n">
        <v>1</v>
      </c>
      <c r="C56" s="7" t="n">
        <v>52</v>
      </c>
      <c r="D56" s="22" t="s">
        <v>219</v>
      </c>
      <c r="E56" s="4" t="s">
        <v>317</v>
      </c>
      <c r="F56" s="23" t="s">
        <v>226</v>
      </c>
      <c r="G56" s="22" t="s">
        <v>40</v>
      </c>
      <c r="H56" s="3" t="s">
        <v>312</v>
      </c>
      <c r="I56" s="3"/>
      <c r="J56" s="7" t="n">
        <f aca="false">LEN(E56)-SUMPRODUCT(LEN(E56)-LEN(SUBSTITUTE(E56,{"，","。","？","！","、","…","；","：","《","》"," ","“","”","—","（","）","·"},"")))</f>
        <v>31</v>
      </c>
      <c r="K56" s="23"/>
    </row>
    <row r="57" customFormat="false" ht="21" hidden="false" customHeight="true" outlineLevel="0" collapsed="false">
      <c r="A57" s="7" t="s">
        <v>92</v>
      </c>
      <c r="B57" s="15" t="n">
        <v>1</v>
      </c>
      <c r="C57" s="7" t="n">
        <v>53</v>
      </c>
      <c r="D57" s="22" t="s">
        <v>222</v>
      </c>
      <c r="E57" s="4" t="s">
        <v>318</v>
      </c>
      <c r="F57" s="23" t="s">
        <v>234</v>
      </c>
      <c r="G57" s="22" t="s">
        <v>42</v>
      </c>
      <c r="H57" s="3"/>
      <c r="I57" s="3"/>
      <c r="J57" s="7" t="n">
        <f aca="false">LEN(E57)-SUMPRODUCT(LEN(E57)-LEN(SUBSTITUTE(E57,{"，","。","？","！","、","…","；","：","《","》"," ","“","”","—","（","）","·"},"")))</f>
        <v>2</v>
      </c>
      <c r="K57" s="23"/>
    </row>
    <row r="58" customFormat="false" ht="36" hidden="false" customHeight="true" outlineLevel="0" collapsed="false">
      <c r="A58" s="7" t="s">
        <v>99</v>
      </c>
      <c r="B58" s="15" t="n">
        <v>1</v>
      </c>
      <c r="C58" s="7" t="n">
        <v>1</v>
      </c>
      <c r="D58" s="22" t="s">
        <v>219</v>
      </c>
      <c r="E58" s="4" t="s">
        <v>319</v>
      </c>
      <c r="F58" s="23" t="s">
        <v>320</v>
      </c>
      <c r="G58" s="22" t="s">
        <v>42</v>
      </c>
      <c r="H58" s="3"/>
      <c r="I58" s="4" t="s">
        <v>269</v>
      </c>
      <c r="J58" s="7" t="n">
        <f aca="false">LEN(E58)-SUMPRODUCT(LEN(E58)-LEN(SUBSTITUTE(E58,{"，","。","？","！","、","…","；","：","《","》"," ","“","”","—","（","）","·"},"")))</f>
        <v>28</v>
      </c>
      <c r="K58" s="23"/>
    </row>
    <row r="59" customFormat="false" ht="21" hidden="false" customHeight="true" outlineLevel="0" collapsed="false">
      <c r="A59" s="7" t="s">
        <v>99</v>
      </c>
      <c r="B59" s="15" t="n">
        <v>1</v>
      </c>
      <c r="C59" s="7" t="n">
        <v>2</v>
      </c>
      <c r="D59" s="22" t="s">
        <v>222</v>
      </c>
      <c r="E59" s="4" t="s">
        <v>321</v>
      </c>
      <c r="F59" s="23" t="s">
        <v>322</v>
      </c>
      <c r="G59" s="22" t="s">
        <v>42</v>
      </c>
      <c r="H59" s="3"/>
      <c r="I59" s="3"/>
      <c r="J59" s="7" t="n">
        <f aca="false">LEN(E59)-SUMPRODUCT(LEN(E59)-LEN(SUBSTITUTE(E59,{"，","。","？","！","、","…","；","：","《","》"," ","“","”","—","（","）","·"},"")))</f>
        <v>1</v>
      </c>
      <c r="K59" s="23"/>
    </row>
    <row r="60" customFormat="false" ht="36" hidden="false" customHeight="true" outlineLevel="0" collapsed="false">
      <c r="A60" s="7" t="s">
        <v>99</v>
      </c>
      <c r="B60" s="15" t="n">
        <v>1</v>
      </c>
      <c r="C60" s="7" t="n">
        <v>3</v>
      </c>
      <c r="D60" s="22" t="s">
        <v>219</v>
      </c>
      <c r="E60" s="4" t="s">
        <v>323</v>
      </c>
      <c r="F60" s="23" t="s">
        <v>226</v>
      </c>
      <c r="G60" s="22" t="s">
        <v>40</v>
      </c>
      <c r="H60" s="3" t="s">
        <v>324</v>
      </c>
      <c r="I60" s="4" t="s">
        <v>325</v>
      </c>
      <c r="J60" s="7" t="n">
        <f aca="false">LEN(E60)-SUMPRODUCT(LEN(E60)-LEN(SUBSTITUTE(E60,{"，","。","？","！","、","…","；","：","《","》"," ","“","”","—","（","）","·"},"")))</f>
        <v>28</v>
      </c>
      <c r="K60" s="23"/>
    </row>
    <row r="61" customFormat="false" ht="51" hidden="false" customHeight="true" outlineLevel="0" collapsed="false">
      <c r="A61" s="7" t="s">
        <v>99</v>
      </c>
      <c r="B61" s="15" t="n">
        <v>1</v>
      </c>
      <c r="C61" s="7" t="n">
        <v>4</v>
      </c>
      <c r="D61" s="22" t="s">
        <v>219</v>
      </c>
      <c r="E61" s="4" t="s">
        <v>326</v>
      </c>
      <c r="F61" s="23" t="s">
        <v>226</v>
      </c>
      <c r="G61" s="22" t="s">
        <v>30</v>
      </c>
      <c r="H61" s="3"/>
      <c r="I61" s="4" t="s">
        <v>327</v>
      </c>
      <c r="J61" s="7" t="n">
        <f aca="false">LEN(E61)-SUMPRODUCT(LEN(E61)-LEN(SUBSTITUTE(E61,{"，","。","？","！","、","…","；","：","《","》"," ","“","”","—","（","）","·"},"")))</f>
        <v>55</v>
      </c>
      <c r="K61" s="23"/>
    </row>
    <row r="62" customFormat="false" ht="21" hidden="false" customHeight="true" outlineLevel="0" collapsed="false">
      <c r="A62" s="7" t="s">
        <v>99</v>
      </c>
      <c r="B62" s="15" t="n">
        <v>1</v>
      </c>
      <c r="C62" s="7" t="n">
        <v>5</v>
      </c>
      <c r="D62" s="22" t="s">
        <v>232</v>
      </c>
      <c r="E62" s="4" t="s">
        <v>244</v>
      </c>
      <c r="F62" s="23" t="s">
        <v>328</v>
      </c>
      <c r="G62" s="22" t="s">
        <v>42</v>
      </c>
      <c r="H62" s="3"/>
      <c r="I62" s="3"/>
      <c r="J62" s="7" t="n">
        <f aca="false">LEN(E62)-SUMPRODUCT(LEN(E62)-LEN(SUBSTITUTE(E62,{"，","。","？","！","、","…","；","：","《","》"," ","“","”","—","（","）","·"},"")))</f>
        <v>1</v>
      </c>
      <c r="K62" s="23"/>
    </row>
    <row r="63" customFormat="false" ht="36" hidden="false" customHeight="true" outlineLevel="0" collapsed="false">
      <c r="A63" s="7" t="s">
        <v>99</v>
      </c>
      <c r="B63" s="15" t="n">
        <v>1</v>
      </c>
      <c r="C63" s="7" t="n">
        <v>6</v>
      </c>
      <c r="D63" s="22" t="s">
        <v>219</v>
      </c>
      <c r="E63" s="4" t="s">
        <v>329</v>
      </c>
      <c r="F63" s="23" t="s">
        <v>226</v>
      </c>
      <c r="G63" s="22" t="s">
        <v>30</v>
      </c>
      <c r="H63" s="3"/>
      <c r="I63" s="4" t="s">
        <v>330</v>
      </c>
      <c r="J63" s="7" t="n">
        <f aca="false">LEN(E63)-SUMPRODUCT(LEN(E63)-LEN(SUBSTITUTE(E63,{"，","。","？","！","、","…","；","：","《","》"," ","“","”","—","（","）","·"},"")))</f>
        <v>40</v>
      </c>
      <c r="K63" s="23"/>
    </row>
    <row r="64" customFormat="false" ht="36" hidden="false" customHeight="true" outlineLevel="0" collapsed="false">
      <c r="A64" s="7" t="s">
        <v>99</v>
      </c>
      <c r="B64" s="15" t="n">
        <v>1</v>
      </c>
      <c r="C64" s="7" t="n">
        <v>7</v>
      </c>
      <c r="D64" s="22" t="s">
        <v>219</v>
      </c>
      <c r="E64" s="4" t="s">
        <v>331</v>
      </c>
      <c r="F64" s="23" t="s">
        <v>226</v>
      </c>
      <c r="G64" s="22" t="s">
        <v>30</v>
      </c>
      <c r="H64" s="3"/>
      <c r="I64" s="4" t="s">
        <v>332</v>
      </c>
      <c r="J64" s="7" t="n">
        <f aca="false">LEN(E64)-SUMPRODUCT(LEN(E64)-LEN(SUBSTITUTE(E64,{"，","。","？","！","、","…","；","：","《","》"," ","“","”","—","（","）","·"},"")))</f>
        <v>39</v>
      </c>
      <c r="K64" s="23"/>
    </row>
    <row r="65" customFormat="false" ht="36" hidden="false" customHeight="true" outlineLevel="0" collapsed="false">
      <c r="A65" s="7" t="s">
        <v>99</v>
      </c>
      <c r="B65" s="15" t="n">
        <v>1</v>
      </c>
      <c r="C65" s="7" t="n">
        <v>8</v>
      </c>
      <c r="D65" s="22" t="s">
        <v>222</v>
      </c>
      <c r="E65" s="4" t="s">
        <v>333</v>
      </c>
      <c r="F65" s="23" t="s">
        <v>243</v>
      </c>
      <c r="G65" s="22" t="s">
        <v>30</v>
      </c>
      <c r="H65" s="3"/>
      <c r="I65" s="4" t="s">
        <v>334</v>
      </c>
      <c r="J65" s="7" t="n">
        <f aca="false">LEN(E65)-SUMPRODUCT(LEN(E65)-LEN(SUBSTITUTE(E65,{"，","。","？","！","、","…","；","：","《","》"," ","“","”","—","（","）","·"},"")))</f>
        <v>13</v>
      </c>
      <c r="K65" s="23"/>
    </row>
    <row r="66" customFormat="false" ht="36" hidden="false" customHeight="true" outlineLevel="0" collapsed="false">
      <c r="A66" s="7" t="s">
        <v>99</v>
      </c>
      <c r="B66" s="15" t="n">
        <v>1</v>
      </c>
      <c r="C66" s="7" t="n">
        <v>9</v>
      </c>
      <c r="D66" s="22" t="s">
        <v>232</v>
      </c>
      <c r="E66" s="4" t="s">
        <v>335</v>
      </c>
      <c r="F66" s="23" t="s">
        <v>245</v>
      </c>
      <c r="G66" s="22" t="s">
        <v>30</v>
      </c>
      <c r="H66" s="3"/>
      <c r="I66" s="3"/>
      <c r="J66" s="7" t="n">
        <f aca="false">LEN(E66)-SUMPRODUCT(LEN(E66)-LEN(SUBSTITUTE(E66,{"，","。","？","！","、","…","；","：","《","》"," ","“","”","—","（","）","·"},"")))</f>
        <v>3</v>
      </c>
      <c r="K66" s="23"/>
    </row>
    <row r="67" customFormat="false" ht="21" hidden="false" customHeight="true" outlineLevel="0" collapsed="false">
      <c r="A67" s="7" t="s">
        <v>99</v>
      </c>
      <c r="B67" s="15" t="n">
        <v>1</v>
      </c>
      <c r="C67" s="7" t="n">
        <v>10</v>
      </c>
      <c r="D67" s="22" t="s">
        <v>222</v>
      </c>
      <c r="E67" s="4" t="s">
        <v>336</v>
      </c>
      <c r="F67" s="23" t="s">
        <v>337</v>
      </c>
      <c r="G67" s="22" t="s">
        <v>32</v>
      </c>
      <c r="H67" s="3"/>
      <c r="I67" s="4" t="s">
        <v>338</v>
      </c>
      <c r="J67" s="7" t="n">
        <f aca="false">LEN(E67)-SUMPRODUCT(LEN(E67)-LEN(SUBSTITUTE(E67,{"，","。","？","！","、","…","；","：","《","》"," ","“","”","—","（","）","·"},"")))</f>
        <v>12</v>
      </c>
      <c r="K67" s="23"/>
    </row>
    <row r="68" customFormat="false" ht="36" hidden="false" customHeight="true" outlineLevel="0" collapsed="false">
      <c r="A68" s="7" t="s">
        <v>99</v>
      </c>
      <c r="B68" s="15" t="n">
        <v>1</v>
      </c>
      <c r="C68" s="7" t="n">
        <v>11</v>
      </c>
      <c r="D68" s="22" t="s">
        <v>219</v>
      </c>
      <c r="E68" s="4" t="s">
        <v>339</v>
      </c>
      <c r="F68" s="23" t="s">
        <v>226</v>
      </c>
      <c r="G68" s="22" t="s">
        <v>32</v>
      </c>
      <c r="H68" s="3" t="s">
        <v>340</v>
      </c>
      <c r="I68" s="4" t="s">
        <v>341</v>
      </c>
      <c r="J68" s="7" t="n">
        <f aca="false">LEN(E68)-SUMPRODUCT(LEN(E68)-LEN(SUBSTITUTE(E68,{"，","。","？","！","、","…","；","：","《","》"," ","“","”","—","（","）","·"},"")))</f>
        <v>27</v>
      </c>
      <c r="K68" s="23"/>
    </row>
    <row r="69" customFormat="false" ht="51" hidden="false" customHeight="true" outlineLevel="0" collapsed="false">
      <c r="A69" s="7" t="s">
        <v>99</v>
      </c>
      <c r="B69" s="15" t="n">
        <v>1</v>
      </c>
      <c r="C69" s="7" t="n">
        <v>12</v>
      </c>
      <c r="D69" s="22" t="s">
        <v>219</v>
      </c>
      <c r="E69" s="4" t="s">
        <v>342</v>
      </c>
      <c r="F69" s="23" t="s">
        <v>343</v>
      </c>
      <c r="G69" s="22" t="s">
        <v>30</v>
      </c>
      <c r="H69" s="3"/>
      <c r="I69" s="4" t="s">
        <v>344</v>
      </c>
      <c r="J69" s="7" t="n">
        <f aca="false">LEN(E69)-SUMPRODUCT(LEN(E69)-LEN(SUBSTITUTE(E69,{"，","。","？","！","、","…","；","：","《","》"," ","“","”","—","（","）","·"},"")))</f>
        <v>44</v>
      </c>
      <c r="K69" s="23"/>
    </row>
    <row r="70" customFormat="false" ht="36" hidden="false" customHeight="true" outlineLevel="0" collapsed="false">
      <c r="A70" s="7" t="s">
        <v>99</v>
      </c>
      <c r="B70" s="15" t="n">
        <v>1</v>
      </c>
      <c r="C70" s="7" t="n">
        <v>13</v>
      </c>
      <c r="D70" s="22" t="s">
        <v>229</v>
      </c>
      <c r="E70" s="4" t="s">
        <v>345</v>
      </c>
      <c r="F70" s="23" t="s">
        <v>346</v>
      </c>
      <c r="G70" s="22" t="s">
        <v>42</v>
      </c>
      <c r="H70" s="3"/>
      <c r="I70" s="3"/>
      <c r="J70" s="7" t="n">
        <f aca="false">LEN(E70)-SUMPRODUCT(LEN(E70)-LEN(SUBSTITUTE(E70,{"，","。","？","！","、","…","；","：","《","》"," ","“","”","—","（","）","·"},"")))</f>
        <v>12</v>
      </c>
      <c r="K70" s="23"/>
    </row>
    <row r="71" customFormat="false" ht="36" hidden="false" customHeight="true" outlineLevel="0" collapsed="false">
      <c r="A71" s="7" t="s">
        <v>99</v>
      </c>
      <c r="B71" s="15" t="n">
        <v>1</v>
      </c>
      <c r="C71" s="7" t="n">
        <v>14</v>
      </c>
      <c r="D71" s="22" t="s">
        <v>219</v>
      </c>
      <c r="E71" s="4" t="s">
        <v>347</v>
      </c>
      <c r="F71" s="23" t="s">
        <v>348</v>
      </c>
      <c r="G71" s="22" t="s">
        <v>30</v>
      </c>
      <c r="H71" s="3"/>
      <c r="I71" s="4" t="s">
        <v>349</v>
      </c>
      <c r="J71" s="7" t="n">
        <f aca="false">LEN(E71)-SUMPRODUCT(LEN(E71)-LEN(SUBSTITUTE(E71,{"，","。","？","！","、","…","；","：","《","》"," ","“","”","—","（","）","·"},"")))</f>
        <v>38</v>
      </c>
      <c r="K71" s="23"/>
    </row>
    <row r="72" customFormat="false" ht="36" hidden="false" customHeight="true" outlineLevel="0" collapsed="false">
      <c r="A72" s="7" t="s">
        <v>99</v>
      </c>
      <c r="B72" s="15" t="n">
        <v>1</v>
      </c>
      <c r="C72" s="7" t="n">
        <v>15</v>
      </c>
      <c r="D72" s="22" t="s">
        <v>219</v>
      </c>
      <c r="E72" s="4" t="s">
        <v>350</v>
      </c>
      <c r="F72" s="23" t="s">
        <v>348</v>
      </c>
      <c r="G72" s="22" t="s">
        <v>30</v>
      </c>
      <c r="H72" s="3"/>
      <c r="I72" s="4" t="s">
        <v>351</v>
      </c>
      <c r="J72" s="7" t="n">
        <f aca="false">LEN(E72)-SUMPRODUCT(LEN(E72)-LEN(SUBSTITUTE(E72,{"，","。","？","！","、","…","；","：","《","》"," ","“","”","—","（","）","·"},"")))</f>
        <v>31</v>
      </c>
      <c r="K72" s="23"/>
    </row>
    <row r="73" customFormat="false" ht="36" hidden="false" customHeight="true" outlineLevel="0" collapsed="false">
      <c r="A73" s="7" t="s">
        <v>99</v>
      </c>
      <c r="B73" s="15" t="n">
        <v>1</v>
      </c>
      <c r="C73" s="7" t="n">
        <v>16</v>
      </c>
      <c r="D73" s="22" t="s">
        <v>222</v>
      </c>
      <c r="E73" s="4" t="s">
        <v>352</v>
      </c>
      <c r="F73" s="23" t="s">
        <v>305</v>
      </c>
      <c r="G73" s="22" t="s">
        <v>30</v>
      </c>
      <c r="H73" s="3"/>
      <c r="I73" s="4" t="s">
        <v>269</v>
      </c>
      <c r="J73" s="7" t="n">
        <f aca="false">LEN(E73)-SUMPRODUCT(LEN(E73)-LEN(SUBSTITUTE(E73,{"，","。","？","！","、","…","；","：","《","》"," ","“","”","—","（","）","·"},"")))</f>
        <v>14</v>
      </c>
      <c r="K73" s="23"/>
    </row>
    <row r="74" customFormat="false" ht="36" hidden="false" customHeight="true" outlineLevel="0" collapsed="false">
      <c r="A74" s="7" t="s">
        <v>99</v>
      </c>
      <c r="B74" s="15" t="n">
        <v>1</v>
      </c>
      <c r="C74" s="7" t="n">
        <v>17</v>
      </c>
      <c r="D74" s="22" t="s">
        <v>219</v>
      </c>
      <c r="E74" s="4" t="s">
        <v>353</v>
      </c>
      <c r="F74" s="23" t="s">
        <v>226</v>
      </c>
      <c r="G74" s="22" t="s">
        <v>30</v>
      </c>
      <c r="H74" s="3" t="s">
        <v>354</v>
      </c>
      <c r="I74" s="3"/>
      <c r="J74" s="7" t="n">
        <f aca="false">LEN(E74)-SUMPRODUCT(LEN(E74)-LEN(SUBSTITUTE(E74,{"，","。","？","！","、","…","；","：","《","》"," ","“","”","—","（","）","·"},"")))</f>
        <v>14</v>
      </c>
      <c r="K74" s="23"/>
    </row>
    <row r="75" customFormat="false" ht="36" hidden="false" customHeight="true" outlineLevel="0" collapsed="false">
      <c r="A75" s="7" t="s">
        <v>99</v>
      </c>
      <c r="B75" s="15" t="n">
        <v>1</v>
      </c>
      <c r="C75" s="7" t="n">
        <v>18</v>
      </c>
      <c r="D75" s="22" t="s">
        <v>222</v>
      </c>
      <c r="E75" s="4" t="s">
        <v>355</v>
      </c>
      <c r="F75" s="23"/>
      <c r="G75" s="22" t="s">
        <v>30</v>
      </c>
      <c r="H75" s="3" t="s">
        <v>356</v>
      </c>
      <c r="I75" s="3"/>
      <c r="J75" s="7" t="n">
        <f aca="false">LEN(E75)-SUMPRODUCT(LEN(E75)-LEN(SUBSTITUTE(E75,{"，","。","？","！","、","…","；","：","《","》"," ","“","”","—","（","）","·"},"")))</f>
        <v>5</v>
      </c>
      <c r="K75" s="23"/>
    </row>
    <row r="76" customFormat="false" ht="36" hidden="false" customHeight="true" outlineLevel="0" collapsed="false">
      <c r="A76" s="7" t="s">
        <v>99</v>
      </c>
      <c r="B76" s="15" t="n">
        <v>1</v>
      </c>
      <c r="C76" s="7" t="n">
        <v>19</v>
      </c>
      <c r="D76" s="22" t="s">
        <v>222</v>
      </c>
      <c r="E76" s="4" t="s">
        <v>357</v>
      </c>
      <c r="F76" s="23" t="s">
        <v>358</v>
      </c>
      <c r="G76" s="22" t="s">
        <v>32</v>
      </c>
      <c r="H76" s="3"/>
      <c r="I76" s="3"/>
      <c r="J76" s="7" t="n">
        <f aca="false">LEN(E76)-SUMPRODUCT(LEN(E76)-LEN(SUBSTITUTE(E76,{"，","。","？","！","、","…","；","：","《","》"," ","“","”","—","（","）","·"},"")))</f>
        <v>9</v>
      </c>
      <c r="K76" s="23"/>
    </row>
    <row r="77" customFormat="false" ht="21" hidden="false" customHeight="true" outlineLevel="0" collapsed="false">
      <c r="A77" s="7" t="s">
        <v>99</v>
      </c>
      <c r="B77" s="15" t="n">
        <v>1</v>
      </c>
      <c r="C77" s="7" t="n">
        <v>20</v>
      </c>
      <c r="D77" s="22" t="s">
        <v>219</v>
      </c>
      <c r="E77" s="4" t="s">
        <v>359</v>
      </c>
      <c r="F77" s="23" t="s">
        <v>226</v>
      </c>
      <c r="G77" s="22" t="s">
        <v>32</v>
      </c>
      <c r="H77" s="3"/>
      <c r="I77" s="3"/>
      <c r="J77" s="7" t="n">
        <f aca="false">LEN(E77)-SUMPRODUCT(LEN(E77)-LEN(SUBSTITUTE(E77,{"，","。","？","！","、","…","；","：","《","》"," ","“","”","—","（","）","·"},"")))</f>
        <v>10</v>
      </c>
      <c r="K77" s="23"/>
    </row>
    <row r="78" customFormat="false" ht="36" hidden="false" customHeight="true" outlineLevel="0" collapsed="false">
      <c r="A78" s="7" t="s">
        <v>99</v>
      </c>
      <c r="B78" s="15" t="n">
        <v>1</v>
      </c>
      <c r="C78" s="7" t="n">
        <v>21</v>
      </c>
      <c r="D78" s="22" t="s">
        <v>222</v>
      </c>
      <c r="E78" s="4" t="s">
        <v>360</v>
      </c>
      <c r="F78" s="23"/>
      <c r="G78" s="22" t="s">
        <v>30</v>
      </c>
      <c r="H78" s="3"/>
      <c r="I78" s="3"/>
      <c r="J78" s="7" t="n">
        <f aca="false">LEN(E78)-SUMPRODUCT(LEN(E78)-LEN(SUBSTITUTE(E78,{"，","。","？","！","、","…","；","：","《","》"," ","“","”","—","（","）","·"},"")))</f>
        <v>23</v>
      </c>
      <c r="K78" s="23"/>
    </row>
    <row r="79" customFormat="false" ht="36" hidden="false" customHeight="true" outlineLevel="0" collapsed="false">
      <c r="A79" s="7" t="s">
        <v>99</v>
      </c>
      <c r="B79" s="15" t="n">
        <v>1</v>
      </c>
      <c r="C79" s="7" t="n">
        <v>22</v>
      </c>
      <c r="D79" s="22" t="s">
        <v>219</v>
      </c>
      <c r="E79" s="4" t="s">
        <v>361</v>
      </c>
      <c r="F79" s="23" t="s">
        <v>282</v>
      </c>
      <c r="G79" s="22" t="s">
        <v>36</v>
      </c>
      <c r="H79" s="3"/>
      <c r="I79" s="3"/>
      <c r="J79" s="7" t="n">
        <f aca="false">LEN(E79)-SUMPRODUCT(LEN(E79)-LEN(SUBSTITUTE(E79,{"，","。","？","！","、","…","；","：","《","》"," ","“","”","—","（","）","·"},"")))</f>
        <v>24</v>
      </c>
      <c r="K79" s="23"/>
    </row>
    <row r="80" customFormat="false" ht="36" hidden="false" customHeight="true" outlineLevel="0" collapsed="false">
      <c r="A80" s="7" t="s">
        <v>99</v>
      </c>
      <c r="B80" s="15" t="n">
        <v>1</v>
      </c>
      <c r="C80" s="7" t="n">
        <v>23</v>
      </c>
      <c r="D80" s="22" t="s">
        <v>222</v>
      </c>
      <c r="E80" s="4" t="s">
        <v>362</v>
      </c>
      <c r="F80" s="23"/>
      <c r="G80" s="22" t="s">
        <v>36</v>
      </c>
      <c r="H80" s="3"/>
      <c r="I80" s="3"/>
      <c r="J80" s="7" t="n">
        <f aca="false">LEN(E80)-SUMPRODUCT(LEN(E80)-LEN(SUBSTITUTE(E80,{"，","。","？","！","、","…","；","：","《","》"," ","“","”","—","（","）","·"},"")))</f>
        <v>15</v>
      </c>
      <c r="K80" s="23"/>
    </row>
    <row r="81" customFormat="false" ht="36" hidden="false" customHeight="true" outlineLevel="0" collapsed="false">
      <c r="A81" s="7" t="s">
        <v>99</v>
      </c>
      <c r="B81" s="15" t="n">
        <v>1</v>
      </c>
      <c r="C81" s="7" t="n">
        <v>24</v>
      </c>
      <c r="D81" s="22" t="s">
        <v>219</v>
      </c>
      <c r="E81" s="4" t="s">
        <v>363</v>
      </c>
      <c r="F81" s="23" t="s">
        <v>226</v>
      </c>
      <c r="G81" s="22" t="s">
        <v>30</v>
      </c>
      <c r="H81" s="3"/>
      <c r="I81" s="3"/>
      <c r="J81" s="7" t="n">
        <f aca="false">LEN(E81)-SUMPRODUCT(LEN(E81)-LEN(SUBSTITUTE(E81,{"，","。","？","！","、","…","；","：","《","》"," ","“","”","—","（","）","·"},"")))</f>
        <v>29</v>
      </c>
      <c r="K81" s="23"/>
    </row>
    <row r="82" customFormat="false" ht="36" hidden="false" customHeight="true" outlineLevel="0" collapsed="false">
      <c r="A82" s="7" t="s">
        <v>99</v>
      </c>
      <c r="B82" s="15" t="n">
        <v>1</v>
      </c>
      <c r="C82" s="7" t="n">
        <v>25</v>
      </c>
      <c r="D82" s="22" t="s">
        <v>232</v>
      </c>
      <c r="E82" s="4" t="s">
        <v>364</v>
      </c>
      <c r="F82" s="23" t="s">
        <v>328</v>
      </c>
      <c r="G82" s="22" t="s">
        <v>30</v>
      </c>
      <c r="H82" s="3"/>
      <c r="I82" s="3"/>
      <c r="J82" s="7" t="n">
        <f aca="false">LEN(E82)-SUMPRODUCT(LEN(E82)-LEN(SUBSTITUTE(E82,{"，","。","？","！","、","…","；","：","《","》"," ","“","”","—","（","）","·"},"")))</f>
        <v>4</v>
      </c>
      <c r="K82" s="23"/>
    </row>
    <row r="83" customFormat="false" ht="36" hidden="false" customHeight="true" outlineLevel="0" collapsed="false">
      <c r="A83" s="7" t="s">
        <v>99</v>
      </c>
      <c r="B83" s="15" t="n">
        <v>1</v>
      </c>
      <c r="C83" s="7" t="n">
        <v>26</v>
      </c>
      <c r="D83" s="22" t="s">
        <v>222</v>
      </c>
      <c r="E83" s="4" t="s">
        <v>365</v>
      </c>
      <c r="F83" s="23"/>
      <c r="G83" s="22" t="s">
        <v>30</v>
      </c>
      <c r="H83" s="3"/>
      <c r="I83" s="3"/>
      <c r="J83" s="7" t="n">
        <f aca="false">LEN(E83)-SUMPRODUCT(LEN(E83)-LEN(SUBSTITUTE(E83,{"，","。","？","！","、","…","；","：","《","》"," ","“","”","—","（","）","·"},"")))</f>
        <v>24</v>
      </c>
      <c r="K83" s="23"/>
    </row>
    <row r="84" customFormat="false" ht="36" hidden="false" customHeight="true" outlineLevel="0" collapsed="false">
      <c r="A84" s="7" t="s">
        <v>99</v>
      </c>
      <c r="B84" s="15" t="n">
        <v>1</v>
      </c>
      <c r="C84" s="7" t="n">
        <v>27</v>
      </c>
      <c r="D84" s="22" t="s">
        <v>219</v>
      </c>
      <c r="E84" s="4" t="s">
        <v>366</v>
      </c>
      <c r="F84" s="23" t="s">
        <v>367</v>
      </c>
      <c r="G84" s="22" t="s">
        <v>38</v>
      </c>
      <c r="H84" s="3"/>
      <c r="I84" s="3"/>
      <c r="J84" s="7" t="n">
        <f aca="false">LEN(E84)-SUMPRODUCT(LEN(E84)-LEN(SUBSTITUTE(E84,{"，","。","？","！","、","…","；","：","《","》"," ","“","”","—","（","）","·"},"")))</f>
        <v>29</v>
      </c>
      <c r="K84" s="23"/>
    </row>
    <row r="85" customFormat="false" ht="51" hidden="false" customHeight="true" outlineLevel="0" collapsed="false">
      <c r="A85" s="7" t="s">
        <v>99</v>
      </c>
      <c r="B85" s="15" t="n">
        <v>1</v>
      </c>
      <c r="C85" s="7" t="n">
        <v>28</v>
      </c>
      <c r="D85" s="22" t="s">
        <v>222</v>
      </c>
      <c r="E85" s="4" t="s">
        <v>368</v>
      </c>
      <c r="F85" s="23"/>
      <c r="G85" s="22" t="s">
        <v>30</v>
      </c>
      <c r="H85" s="3"/>
      <c r="I85" s="4" t="s">
        <v>369</v>
      </c>
      <c r="J85" s="7" t="n">
        <f aca="false">LEN(E85)-SUMPRODUCT(LEN(E85)-LEN(SUBSTITUTE(E85,{"，","。","？","！","、","…","；","：","《","》"," ","“","”","—","（","）","·"},"")))</f>
        <v>48</v>
      </c>
      <c r="K85" s="23"/>
    </row>
    <row r="86" customFormat="false" ht="36" hidden="false" customHeight="true" outlineLevel="0" collapsed="false">
      <c r="A86" s="7" t="s">
        <v>99</v>
      </c>
      <c r="B86" s="15" t="n">
        <v>1</v>
      </c>
      <c r="C86" s="7" t="n">
        <v>29</v>
      </c>
      <c r="D86" s="22" t="s">
        <v>219</v>
      </c>
      <c r="E86" s="4" t="s">
        <v>370</v>
      </c>
      <c r="F86" s="23" t="s">
        <v>226</v>
      </c>
      <c r="G86" s="22" t="s">
        <v>30</v>
      </c>
      <c r="H86" s="3"/>
      <c r="I86" s="3"/>
      <c r="J86" s="7" t="n">
        <f aca="false">LEN(E86)-SUMPRODUCT(LEN(E86)-LEN(SUBSTITUTE(E86,{"，","。","？","！","、","…","；","：","《","》"," ","“","”","—","（","）","·"},"")))</f>
        <v>16</v>
      </c>
      <c r="K86" s="23"/>
    </row>
    <row r="87" customFormat="false" ht="36" hidden="false" customHeight="true" outlineLevel="0" collapsed="false">
      <c r="A87" s="7" t="s">
        <v>99</v>
      </c>
      <c r="B87" s="15" t="n">
        <v>1</v>
      </c>
      <c r="C87" s="7" t="n">
        <v>30</v>
      </c>
      <c r="D87" s="22" t="s">
        <v>222</v>
      </c>
      <c r="E87" s="4" t="s">
        <v>371</v>
      </c>
      <c r="F87" s="23"/>
      <c r="G87" s="22" t="s">
        <v>30</v>
      </c>
      <c r="H87" s="3"/>
      <c r="I87" s="3"/>
      <c r="J87" s="7" t="n">
        <f aca="false">LEN(E87)-SUMPRODUCT(LEN(E87)-LEN(SUBSTITUTE(E87,{"，","。","？","！","、","…","；","：","《","》"," ","“","”","—","（","）","·"},"")))</f>
        <v>12</v>
      </c>
      <c r="K87" s="23"/>
    </row>
    <row r="88" customFormat="false" ht="36" hidden="false" customHeight="true" outlineLevel="0" collapsed="false">
      <c r="A88" s="7" t="s">
        <v>99</v>
      </c>
      <c r="B88" s="15" t="n">
        <v>1</v>
      </c>
      <c r="C88" s="7" t="n">
        <v>31</v>
      </c>
      <c r="D88" s="22" t="s">
        <v>229</v>
      </c>
      <c r="E88" s="4" t="s">
        <v>372</v>
      </c>
      <c r="F88" s="23" t="s">
        <v>373</v>
      </c>
      <c r="G88" s="22" t="s">
        <v>30</v>
      </c>
      <c r="H88" s="3"/>
      <c r="I88" s="3"/>
      <c r="J88" s="7" t="n">
        <f aca="false">LEN(E88)-SUMPRODUCT(LEN(E88)-LEN(SUBSTITUTE(E88,{"，","。","？","！","、","…","；","：","《","》"," ","“","”","—","（","）","·"},"")))</f>
        <v>24</v>
      </c>
      <c r="K88" s="23"/>
    </row>
    <row r="89" customFormat="false" ht="36" hidden="false" customHeight="true" outlineLevel="0" collapsed="false">
      <c r="A89" s="7" t="s">
        <v>99</v>
      </c>
      <c r="B89" s="15" t="n">
        <v>1</v>
      </c>
      <c r="C89" s="7" t="n">
        <v>32</v>
      </c>
      <c r="D89" s="22" t="s">
        <v>219</v>
      </c>
      <c r="E89" s="4" t="s">
        <v>374</v>
      </c>
      <c r="F89" s="23" t="s">
        <v>375</v>
      </c>
      <c r="G89" s="22" t="s">
        <v>36</v>
      </c>
      <c r="H89" s="3"/>
      <c r="I89" s="3"/>
      <c r="J89" s="7" t="n">
        <f aca="false">LEN(E89)-SUMPRODUCT(LEN(E89)-LEN(SUBSTITUTE(E89,{"，","。","？","！","、","…","；","：","《","》"," ","“","”","—","（","）","·"},"")))</f>
        <v>11</v>
      </c>
      <c r="K89" s="23"/>
    </row>
    <row r="90" customFormat="false" ht="36" hidden="false" customHeight="true" outlineLevel="0" collapsed="false">
      <c r="A90" s="7" t="s">
        <v>99</v>
      </c>
      <c r="B90" s="15" t="n">
        <v>1</v>
      </c>
      <c r="C90" s="7" t="n">
        <v>33</v>
      </c>
      <c r="D90" s="22" t="s">
        <v>222</v>
      </c>
      <c r="E90" s="4" t="s">
        <v>376</v>
      </c>
      <c r="F90" s="23"/>
      <c r="G90" s="22" t="s">
        <v>36</v>
      </c>
      <c r="H90" s="3"/>
      <c r="I90" s="4" t="s">
        <v>269</v>
      </c>
      <c r="J90" s="7" t="n">
        <f aca="false">LEN(E90)-SUMPRODUCT(LEN(E90)-LEN(SUBSTITUTE(E90,{"，","。","？","！","、","…","；","：","《","》"," ","“","”","—","（","）","·"},"")))</f>
        <v>19</v>
      </c>
      <c r="K90" s="23"/>
    </row>
    <row r="91" customFormat="false" ht="36" hidden="false" customHeight="true" outlineLevel="0" collapsed="false">
      <c r="A91" s="7" t="s">
        <v>99</v>
      </c>
      <c r="B91" s="15" t="n">
        <v>1</v>
      </c>
      <c r="C91" s="7" t="n">
        <v>34</v>
      </c>
      <c r="D91" s="22" t="s">
        <v>232</v>
      </c>
      <c r="E91" s="4" t="s">
        <v>377</v>
      </c>
      <c r="F91" s="23" t="s">
        <v>378</v>
      </c>
      <c r="G91" s="22" t="s">
        <v>42</v>
      </c>
      <c r="H91" s="3"/>
      <c r="I91" s="3"/>
      <c r="J91" s="7" t="n">
        <f aca="false">LEN(E91)-SUMPRODUCT(LEN(E91)-LEN(SUBSTITUTE(E91,{"，","。","？","！","、","…","；","：","《","》"," ","“","”","—","（","）","·"},"")))</f>
        <v>5</v>
      </c>
      <c r="K91" s="23"/>
    </row>
    <row r="92" customFormat="false" ht="21" hidden="false" customHeight="true" outlineLevel="0" collapsed="false">
      <c r="A92" s="7" t="s">
        <v>99</v>
      </c>
      <c r="B92" s="15" t="n">
        <v>1</v>
      </c>
      <c r="C92" s="7" t="n">
        <v>35</v>
      </c>
      <c r="D92" s="22" t="s">
        <v>222</v>
      </c>
      <c r="E92" s="4" t="s">
        <v>379</v>
      </c>
      <c r="F92" s="23" t="s">
        <v>380</v>
      </c>
      <c r="G92" s="22" t="s">
        <v>42</v>
      </c>
      <c r="H92" s="3"/>
      <c r="I92" s="3"/>
      <c r="J92" s="7" t="n">
        <f aca="false">LEN(E92)-SUMPRODUCT(LEN(E92)-LEN(SUBSTITUTE(E92,{"，","。","？","！","、","…","；","：","《","》"," ","“","”","—","（","）","·"},"")))</f>
        <v>10</v>
      </c>
      <c r="K92" s="23"/>
    </row>
    <row r="93" customFormat="false" ht="21" hidden="false" customHeight="true" outlineLevel="0" collapsed="false">
      <c r="A93" s="7" t="s">
        <v>99</v>
      </c>
      <c r="B93" s="15" t="n">
        <v>1</v>
      </c>
      <c r="C93" s="7" t="n">
        <v>36</v>
      </c>
      <c r="D93" s="22" t="s">
        <v>232</v>
      </c>
      <c r="E93" s="4" t="s">
        <v>244</v>
      </c>
      <c r="F93" s="23" t="s">
        <v>328</v>
      </c>
      <c r="G93" s="22" t="s">
        <v>42</v>
      </c>
      <c r="H93" s="3"/>
      <c r="I93" s="3"/>
      <c r="J93" s="7" t="n">
        <f aca="false">LEN(E93)-SUMPRODUCT(LEN(E93)-LEN(SUBSTITUTE(E93,{"，","。","？","！","、","…","；","：","《","》"," ","“","”","—","（","）","·"},"")))</f>
        <v>1</v>
      </c>
      <c r="K93" s="23"/>
    </row>
    <row r="94" customFormat="false" ht="36" hidden="false" customHeight="true" outlineLevel="0" collapsed="false">
      <c r="A94" s="7" t="s">
        <v>99</v>
      </c>
      <c r="B94" s="15" t="n">
        <v>1</v>
      </c>
      <c r="C94" s="7" t="n">
        <v>37</v>
      </c>
      <c r="D94" s="22" t="s">
        <v>222</v>
      </c>
      <c r="E94" s="4" t="s">
        <v>381</v>
      </c>
      <c r="F94" s="23" t="s">
        <v>382</v>
      </c>
      <c r="G94" s="22" t="s">
        <v>36</v>
      </c>
      <c r="H94" s="3" t="s">
        <v>383</v>
      </c>
      <c r="I94" s="4" t="s">
        <v>269</v>
      </c>
      <c r="J94" s="7" t="n">
        <f aca="false">LEN(E94)-SUMPRODUCT(LEN(E94)-LEN(SUBSTITUTE(E94,{"，","。","？","！","、","…","；","：","《","》"," ","“","”","—","（","）","·"},"")))</f>
        <v>29</v>
      </c>
      <c r="K94" s="23"/>
    </row>
    <row r="95" customFormat="false" ht="36" hidden="false" customHeight="true" outlineLevel="0" collapsed="false">
      <c r="A95" s="7" t="s">
        <v>99</v>
      </c>
      <c r="B95" s="15" t="n">
        <v>1</v>
      </c>
      <c r="C95" s="7" t="n">
        <v>38</v>
      </c>
      <c r="D95" s="22" t="s">
        <v>219</v>
      </c>
      <c r="E95" s="4" t="s">
        <v>384</v>
      </c>
      <c r="F95" s="23" t="s">
        <v>282</v>
      </c>
      <c r="G95" s="22" t="s">
        <v>30</v>
      </c>
      <c r="H95" s="3"/>
      <c r="I95" s="3"/>
      <c r="J95" s="7" t="n">
        <f aca="false">LEN(E95)-SUMPRODUCT(LEN(E95)-LEN(SUBSTITUTE(E95,{"，","。","？","！","、","…","；","：","《","》"," ","“","”","—","（","）","·"},"")))</f>
        <v>22</v>
      </c>
      <c r="K95" s="23"/>
    </row>
    <row r="96" customFormat="false" ht="21" hidden="false" customHeight="true" outlineLevel="0" collapsed="false">
      <c r="A96" s="7" t="s">
        <v>99</v>
      </c>
      <c r="B96" s="15" t="n">
        <v>1</v>
      </c>
      <c r="C96" s="7" t="n">
        <v>39</v>
      </c>
      <c r="D96" s="22" t="s">
        <v>222</v>
      </c>
      <c r="E96" s="4" t="s">
        <v>385</v>
      </c>
      <c r="F96" s="23"/>
      <c r="G96" s="22" t="s">
        <v>42</v>
      </c>
      <c r="H96" s="3"/>
      <c r="I96" s="3"/>
      <c r="J96" s="7" t="n">
        <f aca="false">LEN(E96)-SUMPRODUCT(LEN(E96)-LEN(SUBSTITUTE(E96,{"，","。","？","！","、","…","；","：","《","》"," ","“","”","—","（","）","·"},"")))</f>
        <v>3</v>
      </c>
      <c r="K96" s="23"/>
    </row>
    <row r="97" customFormat="false" ht="36" hidden="false" customHeight="true" outlineLevel="0" collapsed="false">
      <c r="A97" s="7" t="s">
        <v>99</v>
      </c>
      <c r="B97" s="15" t="n">
        <v>1</v>
      </c>
      <c r="C97" s="7" t="n">
        <v>40</v>
      </c>
      <c r="D97" s="22" t="s">
        <v>219</v>
      </c>
      <c r="E97" s="4" t="s">
        <v>386</v>
      </c>
      <c r="F97" s="23" t="s">
        <v>226</v>
      </c>
      <c r="G97" s="22" t="s">
        <v>30</v>
      </c>
      <c r="H97" s="3" t="s">
        <v>356</v>
      </c>
      <c r="I97" s="3"/>
      <c r="J97" s="7" t="n">
        <f aca="false">LEN(E97)-SUMPRODUCT(LEN(E97)-LEN(SUBSTITUTE(E97,{"，","。","？","！","、","…","；","：","《","》"," ","“","”","—","（","）","·"},"")))</f>
        <v>39</v>
      </c>
      <c r="K97" s="23"/>
    </row>
    <row r="98" customFormat="false" ht="21" hidden="false" customHeight="true" outlineLevel="0" collapsed="false">
      <c r="A98" s="7" t="s">
        <v>99</v>
      </c>
      <c r="B98" s="15" t="n">
        <v>1</v>
      </c>
      <c r="C98" s="7" t="n">
        <v>41</v>
      </c>
      <c r="D98" s="22" t="s">
        <v>232</v>
      </c>
      <c r="E98" s="4" t="s">
        <v>238</v>
      </c>
      <c r="F98" s="23" t="s">
        <v>328</v>
      </c>
      <c r="G98" s="22" t="s">
        <v>42</v>
      </c>
      <c r="H98" s="3"/>
      <c r="I98" s="3"/>
      <c r="J98" s="7" t="n">
        <f aca="false">LEN(E98)-SUMPRODUCT(LEN(E98)-LEN(SUBSTITUTE(E98,{"，","。","？","！","、","…","；","：","《","》"," ","“","”","—","（","）","·"},"")))</f>
        <v>1</v>
      </c>
      <c r="K98" s="23"/>
    </row>
    <row r="99" customFormat="false" ht="36" hidden="false" customHeight="true" outlineLevel="0" collapsed="false">
      <c r="A99" s="7" t="s">
        <v>99</v>
      </c>
      <c r="B99" s="15" t="n">
        <v>1</v>
      </c>
      <c r="C99" s="7" t="n">
        <v>42</v>
      </c>
      <c r="D99" s="22" t="s">
        <v>219</v>
      </c>
      <c r="E99" s="4" t="s">
        <v>387</v>
      </c>
      <c r="F99" s="23" t="s">
        <v>226</v>
      </c>
      <c r="G99" s="22" t="s">
        <v>40</v>
      </c>
      <c r="H99" s="3" t="s">
        <v>388</v>
      </c>
      <c r="I99" s="4" t="s">
        <v>389</v>
      </c>
      <c r="J99" s="7" t="n">
        <f aca="false">LEN(E99)-SUMPRODUCT(LEN(E99)-LEN(SUBSTITUTE(E99,{"，","。","？","！","、","…","；","：","《","》"," ","“","”","—","（","）","·"},"")))</f>
        <v>39</v>
      </c>
      <c r="K99" s="23"/>
    </row>
    <row r="100" customFormat="false" ht="21" hidden="false" customHeight="true" outlineLevel="0" collapsed="false">
      <c r="A100" s="7" t="s">
        <v>99</v>
      </c>
      <c r="B100" s="15" t="n">
        <v>1</v>
      </c>
      <c r="C100" s="7" t="n">
        <v>43</v>
      </c>
      <c r="D100" s="22" t="s">
        <v>222</v>
      </c>
      <c r="E100" s="4" t="s">
        <v>390</v>
      </c>
      <c r="F100" s="23"/>
      <c r="G100" s="22" t="s">
        <v>42</v>
      </c>
      <c r="H100" s="3" t="s">
        <v>391</v>
      </c>
      <c r="I100" s="3"/>
      <c r="J100" s="7" t="n">
        <f aca="false">LEN(E100)-SUMPRODUCT(LEN(E100)-LEN(SUBSTITUTE(E100,{"，","。","？","！","、","…","；","：","《","》"," ","“","”","—","（","）","·"},"")))</f>
        <v>4</v>
      </c>
      <c r="K100" s="23"/>
    </row>
    <row r="101" customFormat="false" ht="36" hidden="false" customHeight="true" outlineLevel="0" collapsed="false">
      <c r="A101" s="7" t="s">
        <v>99</v>
      </c>
      <c r="B101" s="15" t="n">
        <v>1</v>
      </c>
      <c r="C101" s="7" t="n">
        <v>44</v>
      </c>
      <c r="D101" s="22" t="s">
        <v>229</v>
      </c>
      <c r="E101" s="4" t="s">
        <v>392</v>
      </c>
      <c r="F101" s="23"/>
      <c r="G101" s="22" t="s">
        <v>40</v>
      </c>
      <c r="H101" s="3"/>
      <c r="I101" s="4" t="s">
        <v>269</v>
      </c>
      <c r="J101" s="7" t="n">
        <f aca="false">LEN(E101)-SUMPRODUCT(LEN(E101)-LEN(SUBSTITUTE(E101,{"，","。","？","！","、","…","；","：","《","》"," ","“","”","—","（","）","·"},"")))</f>
        <v>22</v>
      </c>
      <c r="K101" s="23"/>
    </row>
    <row r="102" customFormat="false" ht="36" hidden="false" customHeight="true" outlineLevel="0" collapsed="false">
      <c r="A102" s="7" t="s">
        <v>99</v>
      </c>
      <c r="B102" s="15" t="n">
        <v>1</v>
      </c>
      <c r="C102" s="7" t="n">
        <v>45</v>
      </c>
      <c r="D102" s="22" t="s">
        <v>219</v>
      </c>
      <c r="E102" s="4" t="s">
        <v>393</v>
      </c>
      <c r="F102" s="23" t="s">
        <v>394</v>
      </c>
      <c r="G102" s="22" t="s">
        <v>40</v>
      </c>
      <c r="H102" s="3" t="s">
        <v>395</v>
      </c>
      <c r="I102" s="3"/>
      <c r="J102" s="7" t="n">
        <f aca="false">LEN(E102)-SUMPRODUCT(LEN(E102)-LEN(SUBSTITUTE(E102,{"，","。","？","！","、","…","；","：","《","》"," ","“","”","—","（","）","·"},"")))</f>
        <v>28</v>
      </c>
      <c r="K102" s="23"/>
    </row>
    <row r="103" customFormat="false" ht="21" hidden="false" customHeight="true" outlineLevel="0" collapsed="false">
      <c r="A103" s="7" t="s">
        <v>99</v>
      </c>
      <c r="B103" s="15" t="n">
        <v>1</v>
      </c>
      <c r="C103" s="7" t="n">
        <v>46</v>
      </c>
      <c r="D103" s="22" t="s">
        <v>229</v>
      </c>
      <c r="E103" s="4" t="s">
        <v>285</v>
      </c>
      <c r="F103" s="23"/>
      <c r="G103" s="22" t="s">
        <v>42</v>
      </c>
      <c r="H103" s="3"/>
      <c r="I103" s="3"/>
      <c r="J103" s="7" t="n">
        <f aca="false">LEN(E103)-SUMPRODUCT(LEN(E103)-LEN(SUBSTITUTE(E103,{"，","。","？","！","、","…","；","：","《","》"," ","“","”","—","（","）","·"},"")))</f>
        <v>2</v>
      </c>
      <c r="K103" s="23"/>
    </row>
    <row r="104" customFormat="false" ht="21" hidden="false" customHeight="true" outlineLevel="0" collapsed="false">
      <c r="A104" s="7" t="s">
        <v>99</v>
      </c>
      <c r="B104" s="15" t="n">
        <v>1</v>
      </c>
      <c r="C104" s="7" t="n">
        <v>47</v>
      </c>
      <c r="D104" s="22" t="s">
        <v>222</v>
      </c>
      <c r="E104" s="4" t="s">
        <v>396</v>
      </c>
      <c r="F104" s="23" t="s">
        <v>397</v>
      </c>
      <c r="G104" s="22" t="s">
        <v>42</v>
      </c>
      <c r="H104" s="3"/>
      <c r="I104" s="3"/>
      <c r="J104" s="7" t="n">
        <f aca="false">LEN(E104)-SUMPRODUCT(LEN(E104)-LEN(SUBSTITUTE(E104,{"，","。","？","！","、","…","；","：","《","》"," ","“","”","—","（","）","·"},"")))</f>
        <v>9</v>
      </c>
      <c r="K104" s="23"/>
    </row>
    <row r="105" customFormat="false" ht="21" hidden="false" customHeight="true" outlineLevel="0" collapsed="false">
      <c r="A105" s="7" t="s">
        <v>99</v>
      </c>
      <c r="B105" s="15" t="n">
        <v>1</v>
      </c>
      <c r="C105" s="7" t="n">
        <v>48</v>
      </c>
      <c r="D105" s="22" t="s">
        <v>232</v>
      </c>
      <c r="E105" s="4" t="s">
        <v>398</v>
      </c>
      <c r="F105" s="23" t="s">
        <v>328</v>
      </c>
      <c r="G105" s="22" t="s">
        <v>42</v>
      </c>
      <c r="H105" s="3"/>
      <c r="I105" s="3"/>
      <c r="J105" s="7" t="n">
        <f aca="false">LEN(E105)-SUMPRODUCT(LEN(E105)-LEN(SUBSTITUTE(E105,{"，","。","？","！","、","…","；","：","《","》"," ","“","”","—","（","）","·"},"")))</f>
        <v>2</v>
      </c>
      <c r="K105" s="23"/>
    </row>
    <row r="106" customFormat="false" ht="51" hidden="false" customHeight="true" outlineLevel="0" collapsed="false">
      <c r="A106" s="7" t="s">
        <v>99</v>
      </c>
      <c r="B106" s="15" t="n">
        <v>1</v>
      </c>
      <c r="C106" s="7" t="n">
        <v>49</v>
      </c>
      <c r="D106" s="22" t="s">
        <v>219</v>
      </c>
      <c r="E106" s="4" t="s">
        <v>399</v>
      </c>
      <c r="F106" s="23" t="s">
        <v>400</v>
      </c>
      <c r="G106" s="22" t="s">
        <v>40</v>
      </c>
      <c r="H106" s="3" t="s">
        <v>401</v>
      </c>
      <c r="I106" s="3"/>
      <c r="J106" s="7" t="n">
        <f aca="false">LEN(E106)-SUMPRODUCT(LEN(E106)-LEN(SUBSTITUTE(E106,{"，","。","？","！","、","…","；","：","《","》"," ","“","”","—","（","）","·"},"")))</f>
        <v>33</v>
      </c>
      <c r="K106" s="23"/>
    </row>
    <row r="107" customFormat="false" ht="36" hidden="false" customHeight="true" outlineLevel="0" collapsed="false">
      <c r="A107" s="7" t="s">
        <v>103</v>
      </c>
      <c r="B107" s="15" t="n">
        <v>1</v>
      </c>
      <c r="C107" s="7" t="n">
        <v>1</v>
      </c>
      <c r="D107" s="22" t="s">
        <v>219</v>
      </c>
      <c r="E107" s="4" t="s">
        <v>402</v>
      </c>
      <c r="F107" s="23" t="s">
        <v>226</v>
      </c>
      <c r="G107" s="22" t="s">
        <v>40</v>
      </c>
      <c r="H107" s="3"/>
      <c r="I107" s="4" t="s">
        <v>403</v>
      </c>
      <c r="J107" s="7" t="n">
        <f aca="false">LEN(E107)-SUMPRODUCT(LEN(E107)-LEN(SUBSTITUTE(E107,{"，","。","？","！","、","…","；","：","《","》"," ","“","”","—","（","）","·"},"")))</f>
        <v>33</v>
      </c>
      <c r="K107" s="23"/>
    </row>
    <row r="108" customFormat="false" ht="21" hidden="false" customHeight="true" outlineLevel="0" collapsed="false">
      <c r="A108" s="7" t="s">
        <v>103</v>
      </c>
      <c r="B108" s="15" t="n">
        <v>1</v>
      </c>
      <c r="C108" s="7" t="n">
        <v>2</v>
      </c>
      <c r="D108" s="22" t="s">
        <v>222</v>
      </c>
      <c r="E108" s="4" t="s">
        <v>404</v>
      </c>
      <c r="F108" s="23" t="s">
        <v>405</v>
      </c>
      <c r="G108" s="22" t="s">
        <v>42</v>
      </c>
      <c r="H108" s="3"/>
      <c r="I108" s="3"/>
      <c r="J108" s="7" t="n">
        <f aca="false">LEN(E108)-SUMPRODUCT(LEN(E108)-LEN(SUBSTITUTE(E108,{"，","。","？","！","、","…","；","：","《","》"," ","“","”","—","（","）","·"},"")))</f>
        <v>1</v>
      </c>
      <c r="K108" s="23"/>
    </row>
    <row r="109" customFormat="false" ht="36" hidden="false" customHeight="true" outlineLevel="0" collapsed="false">
      <c r="A109" s="7" t="s">
        <v>103</v>
      </c>
      <c r="B109" s="15" t="n">
        <v>1</v>
      </c>
      <c r="C109" s="7" t="n">
        <v>3</v>
      </c>
      <c r="D109" s="22" t="s">
        <v>219</v>
      </c>
      <c r="E109" s="4" t="s">
        <v>406</v>
      </c>
      <c r="F109" s="23" t="s">
        <v>226</v>
      </c>
      <c r="G109" s="22" t="s">
        <v>42</v>
      </c>
      <c r="H109" s="3"/>
      <c r="I109" s="4" t="s">
        <v>269</v>
      </c>
      <c r="J109" s="7" t="n">
        <f aca="false">LEN(E109)-SUMPRODUCT(LEN(E109)-LEN(SUBSTITUTE(E109,{"，","。","？","！","、","…","；","：","《","》"," ","“","”","—","（","）","·"},"")))</f>
        <v>23</v>
      </c>
      <c r="K109" s="23"/>
    </row>
    <row r="110" customFormat="false" ht="21" hidden="false" customHeight="true" outlineLevel="0" collapsed="false">
      <c r="A110" s="7" t="s">
        <v>103</v>
      </c>
      <c r="B110" s="15" t="n">
        <v>1</v>
      </c>
      <c r="C110" s="7" t="n">
        <v>4</v>
      </c>
      <c r="D110" s="22" t="s">
        <v>232</v>
      </c>
      <c r="E110" s="4" t="s">
        <v>407</v>
      </c>
      <c r="F110" s="23"/>
      <c r="G110" s="22" t="s">
        <v>42</v>
      </c>
      <c r="H110" s="3"/>
      <c r="I110" s="4" t="s">
        <v>269</v>
      </c>
      <c r="J110" s="7" t="n">
        <f aca="false">LEN(E110)-SUMPRODUCT(LEN(E110)-LEN(SUBSTITUTE(E110,{"，","。","？","！","、","…","；","：","《","》"," ","“","”","—","（","）","·"},"")))</f>
        <v>6</v>
      </c>
      <c r="K110" s="23"/>
    </row>
    <row r="111" customFormat="false" ht="36" hidden="false" customHeight="true" outlineLevel="0" collapsed="false">
      <c r="A111" s="7" t="s">
        <v>103</v>
      </c>
      <c r="B111" s="15" t="n">
        <v>1</v>
      </c>
      <c r="C111" s="7" t="n">
        <v>5</v>
      </c>
      <c r="D111" s="22" t="s">
        <v>219</v>
      </c>
      <c r="E111" s="4" t="s">
        <v>408</v>
      </c>
      <c r="F111" s="23" t="s">
        <v>226</v>
      </c>
      <c r="G111" s="22" t="s">
        <v>30</v>
      </c>
      <c r="H111" s="3"/>
      <c r="I111" s="4" t="s">
        <v>409</v>
      </c>
      <c r="J111" s="7" t="n">
        <f aca="false">LEN(E111)-SUMPRODUCT(LEN(E111)-LEN(SUBSTITUTE(E111,{"，","。","？","！","、","…","；","：","《","》"," ","“","”","—","（","）","·"},"")))</f>
        <v>39</v>
      </c>
      <c r="K111" s="23"/>
    </row>
    <row r="112" customFormat="false" ht="51" hidden="false" customHeight="true" outlineLevel="0" collapsed="false">
      <c r="A112" s="7" t="s">
        <v>103</v>
      </c>
      <c r="B112" s="15" t="n">
        <v>1</v>
      </c>
      <c r="C112" s="7" t="n">
        <v>6</v>
      </c>
      <c r="D112" s="22" t="s">
        <v>219</v>
      </c>
      <c r="E112" s="4" t="s">
        <v>410</v>
      </c>
      <c r="F112" s="23" t="s">
        <v>226</v>
      </c>
      <c r="G112" s="22" t="s">
        <v>30</v>
      </c>
      <c r="H112" s="3"/>
      <c r="I112" s="4" t="s">
        <v>411</v>
      </c>
      <c r="J112" s="7" t="n">
        <f aca="false">LEN(E112)-SUMPRODUCT(LEN(E112)-LEN(SUBSTITUTE(E112,{"，","。","？","！","、","…","；","：","《","》"," ","“","”","—","（","）","·"},"")))</f>
        <v>61</v>
      </c>
      <c r="K112" s="23"/>
    </row>
    <row r="113" customFormat="false" ht="36" hidden="false" customHeight="true" outlineLevel="0" collapsed="false">
      <c r="A113" s="7" t="s">
        <v>103</v>
      </c>
      <c r="B113" s="15" t="n">
        <v>1</v>
      </c>
      <c r="C113" s="7" t="n">
        <v>7</v>
      </c>
      <c r="D113" s="22" t="s">
        <v>219</v>
      </c>
      <c r="E113" s="4" t="s">
        <v>412</v>
      </c>
      <c r="F113" s="23" t="s">
        <v>226</v>
      </c>
      <c r="G113" s="22" t="s">
        <v>32</v>
      </c>
      <c r="H113" s="3" t="s">
        <v>413</v>
      </c>
      <c r="I113" s="4" t="s">
        <v>414</v>
      </c>
      <c r="J113" s="7" t="n">
        <f aca="false">LEN(E113)-SUMPRODUCT(LEN(E113)-LEN(SUBSTITUTE(E113,{"，","。","？","！","、","…","；","：","《","》"," ","“","”","—","（","）","·"},"")))</f>
        <v>38</v>
      </c>
      <c r="K113" s="23"/>
    </row>
    <row r="114" customFormat="false" ht="36" hidden="false" customHeight="true" outlineLevel="0" collapsed="false">
      <c r="A114" s="7" t="s">
        <v>103</v>
      </c>
      <c r="B114" s="15" t="n">
        <v>1</v>
      </c>
      <c r="C114" s="7" t="n">
        <v>8</v>
      </c>
      <c r="D114" s="22" t="s">
        <v>222</v>
      </c>
      <c r="E114" s="4" t="s">
        <v>415</v>
      </c>
      <c r="F114" s="23" t="s">
        <v>416</v>
      </c>
      <c r="G114" s="22" t="s">
        <v>30</v>
      </c>
      <c r="H114" s="3"/>
      <c r="I114" s="4" t="s">
        <v>269</v>
      </c>
      <c r="J114" s="7" t="n">
        <f aca="false">LEN(E114)-SUMPRODUCT(LEN(E114)-LEN(SUBSTITUTE(E114,{"，","。","？","！","、","…","；","：","《","》"," ","“","”","—","（","）","·"},"")))</f>
        <v>12</v>
      </c>
      <c r="K114" s="23"/>
    </row>
    <row r="115" customFormat="false" ht="36" hidden="false" customHeight="true" outlineLevel="0" collapsed="false">
      <c r="A115" s="7" t="s">
        <v>103</v>
      </c>
      <c r="B115" s="15" t="n">
        <v>1</v>
      </c>
      <c r="C115" s="7" t="n">
        <v>9</v>
      </c>
      <c r="D115" s="22" t="s">
        <v>232</v>
      </c>
      <c r="E115" s="4" t="s">
        <v>417</v>
      </c>
      <c r="F115" s="23"/>
      <c r="G115" s="22" t="s">
        <v>30</v>
      </c>
      <c r="H115" s="3"/>
      <c r="I115" s="3"/>
      <c r="J115" s="7" t="n">
        <f aca="false">LEN(E115)-SUMPRODUCT(LEN(E115)-LEN(SUBSTITUTE(E115,{"，","。","？","！","、","…","；","：","《","》"," ","“","”","—","（","）","·"},"")))</f>
        <v>19</v>
      </c>
      <c r="K115" s="23"/>
    </row>
    <row r="116" customFormat="false" ht="36" hidden="false" customHeight="true" outlineLevel="0" collapsed="false">
      <c r="A116" s="7" t="s">
        <v>103</v>
      </c>
      <c r="B116" s="15" t="n">
        <v>1</v>
      </c>
      <c r="C116" s="7" t="n">
        <v>10</v>
      </c>
      <c r="D116" s="22" t="s">
        <v>219</v>
      </c>
      <c r="E116" s="4" t="s">
        <v>418</v>
      </c>
      <c r="F116" s="23" t="s">
        <v>278</v>
      </c>
      <c r="G116" s="22" t="s">
        <v>30</v>
      </c>
      <c r="H116" s="3"/>
      <c r="I116" s="3"/>
      <c r="J116" s="7" t="n">
        <f aca="false">LEN(E116)-SUMPRODUCT(LEN(E116)-LEN(SUBSTITUTE(E116,{"，","。","？","！","、","…","；","：","《","》"," ","“","”","—","（","）","·"},"")))</f>
        <v>17</v>
      </c>
      <c r="K116" s="23"/>
    </row>
    <row r="117" customFormat="false" ht="36" hidden="false" customHeight="true" outlineLevel="0" collapsed="false">
      <c r="A117" s="7" t="s">
        <v>103</v>
      </c>
      <c r="B117" s="15" t="n">
        <v>1</v>
      </c>
      <c r="C117" s="7" t="n">
        <v>11</v>
      </c>
      <c r="D117" s="22" t="s">
        <v>222</v>
      </c>
      <c r="E117" s="4" t="s">
        <v>419</v>
      </c>
      <c r="F117" s="23" t="s">
        <v>234</v>
      </c>
      <c r="G117" s="22" t="s">
        <v>30</v>
      </c>
      <c r="H117" s="3"/>
      <c r="I117" s="4" t="s">
        <v>269</v>
      </c>
      <c r="J117" s="7" t="n">
        <f aca="false">LEN(E117)-SUMPRODUCT(LEN(E117)-LEN(SUBSTITUTE(E117,{"，","。","？","！","、","…","；","：","《","》"," ","“","”","—","（","）","·"},"")))</f>
        <v>21</v>
      </c>
      <c r="K117" s="23"/>
    </row>
    <row r="118" customFormat="false" ht="36" hidden="false" customHeight="true" outlineLevel="0" collapsed="false">
      <c r="A118" s="7" t="s">
        <v>103</v>
      </c>
      <c r="B118" s="15" t="n">
        <v>1</v>
      </c>
      <c r="C118" s="7" t="n">
        <v>12</v>
      </c>
      <c r="D118" s="22" t="s">
        <v>232</v>
      </c>
      <c r="E118" s="4" t="s">
        <v>420</v>
      </c>
      <c r="F118" s="23"/>
      <c r="G118" s="22" t="s">
        <v>30</v>
      </c>
      <c r="H118" s="3"/>
      <c r="I118" s="3"/>
      <c r="J118" s="7" t="n">
        <f aca="false">LEN(E118)-SUMPRODUCT(LEN(E118)-LEN(SUBSTITUTE(E118,{"，","。","？","！","、","…","；","：","《","》"," ","“","”","—","（","）","·"},"")))</f>
        <v>3</v>
      </c>
      <c r="K118" s="23"/>
    </row>
    <row r="119" customFormat="false" ht="36" hidden="false" customHeight="true" outlineLevel="0" collapsed="false">
      <c r="A119" s="7" t="s">
        <v>103</v>
      </c>
      <c r="B119" s="15" t="n">
        <v>1</v>
      </c>
      <c r="C119" s="7" t="n">
        <v>13</v>
      </c>
      <c r="D119" s="22" t="s">
        <v>229</v>
      </c>
      <c r="E119" s="4" t="s">
        <v>421</v>
      </c>
      <c r="F119" s="23" t="s">
        <v>422</v>
      </c>
      <c r="G119" s="22" t="s">
        <v>40</v>
      </c>
      <c r="H119" s="3"/>
      <c r="I119" s="3"/>
      <c r="J119" s="7" t="n">
        <f aca="false">LEN(E119)-SUMPRODUCT(LEN(E119)-LEN(SUBSTITUTE(E119,{"，","。","？","！","、","…","；","：","《","》"," ","“","”","—","（","）","·"},"")))</f>
        <v>7</v>
      </c>
      <c r="K119" s="23"/>
    </row>
    <row r="120" customFormat="false" ht="36" hidden="false" customHeight="true" outlineLevel="0" collapsed="false">
      <c r="A120" s="7" t="s">
        <v>103</v>
      </c>
      <c r="B120" s="15" t="n">
        <v>1</v>
      </c>
      <c r="C120" s="7" t="n">
        <v>14</v>
      </c>
      <c r="D120" s="22" t="s">
        <v>219</v>
      </c>
      <c r="E120" s="4" t="s">
        <v>423</v>
      </c>
      <c r="F120" s="23" t="s">
        <v>262</v>
      </c>
      <c r="G120" s="22" t="s">
        <v>30</v>
      </c>
      <c r="H120" s="3"/>
      <c r="I120" s="3"/>
      <c r="J120" s="7" t="n">
        <f aca="false">LEN(E120)-SUMPRODUCT(LEN(E120)-LEN(SUBSTITUTE(E120,{"，","。","？","！","、","…","；","：","《","》"," ","“","”","—","（","）","·"},"")))</f>
        <v>26</v>
      </c>
      <c r="K120" s="23"/>
    </row>
    <row r="121" customFormat="false" ht="21" hidden="false" customHeight="true" outlineLevel="0" collapsed="false">
      <c r="A121" s="7" t="s">
        <v>103</v>
      </c>
      <c r="B121" s="15" t="n">
        <v>1</v>
      </c>
      <c r="C121" s="7" t="n">
        <v>15</v>
      </c>
      <c r="D121" s="22" t="s">
        <v>222</v>
      </c>
      <c r="E121" s="4" t="s">
        <v>424</v>
      </c>
      <c r="F121" s="23"/>
      <c r="G121" s="22" t="s">
        <v>42</v>
      </c>
      <c r="H121" s="3"/>
      <c r="I121" s="4" t="s">
        <v>269</v>
      </c>
      <c r="J121" s="7" t="n">
        <f aca="false">LEN(E121)-SUMPRODUCT(LEN(E121)-LEN(SUBSTITUTE(E121,{"，","。","？","！","、","…","；","：","《","》"," ","“","”","—","（","）","·"},"")))</f>
        <v>4</v>
      </c>
      <c r="K121" s="23"/>
    </row>
    <row r="122" customFormat="false" ht="36" hidden="false" customHeight="true" outlineLevel="0" collapsed="false">
      <c r="A122" s="7" t="s">
        <v>103</v>
      </c>
      <c r="B122" s="15" t="n">
        <v>1</v>
      </c>
      <c r="C122" s="7" t="n">
        <v>16</v>
      </c>
      <c r="D122" s="22" t="s">
        <v>219</v>
      </c>
      <c r="E122" s="4" t="s">
        <v>425</v>
      </c>
      <c r="F122" s="23" t="s">
        <v>426</v>
      </c>
      <c r="G122" s="22" t="s">
        <v>40</v>
      </c>
      <c r="H122" s="3"/>
      <c r="I122" s="3"/>
      <c r="J122" s="7" t="n">
        <f aca="false">LEN(E122)-SUMPRODUCT(LEN(E122)-LEN(SUBSTITUTE(E122,{"，","。","？","！","、","…","；","：","《","》"," ","“","”","—","（","）","·"},"")))</f>
        <v>25</v>
      </c>
      <c r="K122" s="23"/>
    </row>
    <row r="123" customFormat="false" ht="21" hidden="false" customHeight="true" outlineLevel="0" collapsed="false">
      <c r="A123" s="7" t="s">
        <v>103</v>
      </c>
      <c r="B123" s="15" t="n">
        <v>1</v>
      </c>
      <c r="C123" s="7" t="n">
        <v>17</v>
      </c>
      <c r="D123" s="22" t="s">
        <v>232</v>
      </c>
      <c r="E123" s="4" t="s">
        <v>238</v>
      </c>
      <c r="F123" s="23"/>
      <c r="G123" s="22" t="s">
        <v>42</v>
      </c>
      <c r="H123" s="3"/>
      <c r="I123" s="3"/>
      <c r="J123" s="7" t="n">
        <f aca="false">LEN(E123)-SUMPRODUCT(LEN(E123)-LEN(SUBSTITUTE(E123,{"，","。","？","！","、","…","；","：","《","》"," ","“","”","—","（","）","·"},"")))</f>
        <v>1</v>
      </c>
      <c r="K123" s="23"/>
    </row>
    <row r="124" customFormat="false" ht="36" hidden="false" customHeight="true" outlineLevel="0" collapsed="false">
      <c r="A124" s="7" t="s">
        <v>103</v>
      </c>
      <c r="B124" s="15" t="n">
        <v>1</v>
      </c>
      <c r="C124" s="7" t="n">
        <v>18</v>
      </c>
      <c r="D124" s="22" t="s">
        <v>219</v>
      </c>
      <c r="E124" s="4" t="s">
        <v>427</v>
      </c>
      <c r="F124" s="23" t="s">
        <v>226</v>
      </c>
      <c r="G124" s="22" t="s">
        <v>40</v>
      </c>
      <c r="H124" s="3" t="s">
        <v>428</v>
      </c>
      <c r="I124" s="4" t="s">
        <v>429</v>
      </c>
      <c r="J124" s="7" t="n">
        <f aca="false">LEN(E124)-SUMPRODUCT(LEN(E124)-LEN(SUBSTITUTE(E124,{"，","。","？","！","、","…","；","：","《","》"," ","“","”","—","（","）","·"},"")))</f>
        <v>27</v>
      </c>
      <c r="K124" s="23"/>
    </row>
    <row r="125" customFormat="false" ht="36" hidden="false" customHeight="true" outlineLevel="0" collapsed="false">
      <c r="A125" s="7" t="s">
        <v>103</v>
      </c>
      <c r="B125" s="15" t="n">
        <v>1</v>
      </c>
      <c r="C125" s="7" t="n">
        <v>19</v>
      </c>
      <c r="D125" s="22" t="s">
        <v>219</v>
      </c>
      <c r="E125" s="4" t="s">
        <v>430</v>
      </c>
      <c r="F125" s="23" t="s">
        <v>226</v>
      </c>
      <c r="G125" s="22" t="s">
        <v>40</v>
      </c>
      <c r="H125" s="3" t="s">
        <v>431</v>
      </c>
      <c r="I125" s="4" t="s">
        <v>432</v>
      </c>
      <c r="J125" s="7" t="n">
        <f aca="false">LEN(E125)-SUMPRODUCT(LEN(E125)-LEN(SUBSTITUTE(E125,{"，","。","？","！","、","…","；","：","《","》"," ","“","”","—","（","）","·"},"")))</f>
        <v>27</v>
      </c>
      <c r="K125" s="23"/>
    </row>
    <row r="126" customFormat="false" ht="21" hidden="false" customHeight="true" outlineLevel="0" collapsed="false">
      <c r="A126" s="7" t="s">
        <v>103</v>
      </c>
      <c r="B126" s="15" t="n">
        <v>1</v>
      </c>
      <c r="C126" s="7" t="n">
        <v>20</v>
      </c>
      <c r="D126" s="22" t="s">
        <v>222</v>
      </c>
      <c r="E126" s="4" t="s">
        <v>433</v>
      </c>
      <c r="F126" s="23"/>
      <c r="G126" s="22" t="s">
        <v>42</v>
      </c>
      <c r="H126" s="3" t="s">
        <v>434</v>
      </c>
      <c r="I126" s="4" t="s">
        <v>269</v>
      </c>
      <c r="J126" s="7" t="n">
        <f aca="false">LEN(E126)-SUMPRODUCT(LEN(E126)-LEN(SUBSTITUTE(E126,{"，","。","？","！","、","…","；","：","《","》"," ","“","”","—","（","）","·"},"")))</f>
        <v>18</v>
      </c>
      <c r="K126" s="23"/>
    </row>
    <row r="127" customFormat="false" ht="36" hidden="false" customHeight="true" outlineLevel="0" collapsed="false">
      <c r="A127" s="7" t="s">
        <v>103</v>
      </c>
      <c r="B127" s="15" t="n">
        <v>1</v>
      </c>
      <c r="C127" s="7" t="n">
        <v>21</v>
      </c>
      <c r="D127" s="22" t="s">
        <v>219</v>
      </c>
      <c r="E127" s="4" t="s">
        <v>435</v>
      </c>
      <c r="F127" s="23" t="s">
        <v>226</v>
      </c>
      <c r="G127" s="22" t="s">
        <v>40</v>
      </c>
      <c r="H127" s="3" t="s">
        <v>436</v>
      </c>
      <c r="I127" s="3"/>
      <c r="J127" s="7" t="n">
        <f aca="false">LEN(E127)-SUMPRODUCT(LEN(E127)-LEN(SUBSTITUTE(E127,{"，","。","？","！","、","…","；","：","《","》"," ","“","”","—","（","）","·"},"")))</f>
        <v>39</v>
      </c>
      <c r="K127" s="23"/>
    </row>
    <row r="128" customFormat="false" ht="21" hidden="false" customHeight="true" outlineLevel="0" collapsed="false">
      <c r="A128" s="7" t="s">
        <v>103</v>
      </c>
      <c r="B128" s="15" t="n">
        <v>1</v>
      </c>
      <c r="C128" s="7" t="n">
        <v>22</v>
      </c>
      <c r="D128" s="22" t="s">
        <v>222</v>
      </c>
      <c r="E128" s="4" t="s">
        <v>437</v>
      </c>
      <c r="F128" s="23"/>
      <c r="G128" s="22" t="s">
        <v>42</v>
      </c>
      <c r="H128" s="3"/>
      <c r="I128" s="3"/>
      <c r="J128" s="7" t="n">
        <f aca="false">LEN(E128)-SUMPRODUCT(LEN(E128)-LEN(SUBSTITUTE(E128,{"，","。","？","！","、","…","；","：","《","》"," ","“","”","—","（","）","·"},"")))</f>
        <v>3</v>
      </c>
      <c r="K128" s="23"/>
    </row>
    <row r="129" customFormat="false" ht="36" hidden="false" customHeight="true" outlineLevel="0" collapsed="false">
      <c r="A129" s="7" t="s">
        <v>103</v>
      </c>
      <c r="B129" s="15" t="n">
        <v>1</v>
      </c>
      <c r="C129" s="7" t="n">
        <v>23</v>
      </c>
      <c r="D129" s="22" t="s">
        <v>232</v>
      </c>
      <c r="E129" s="4" t="s">
        <v>438</v>
      </c>
      <c r="F129" s="23"/>
      <c r="G129" s="22" t="s">
        <v>42</v>
      </c>
      <c r="H129" s="3" t="s">
        <v>439</v>
      </c>
      <c r="I129" s="3"/>
      <c r="J129" s="7" t="n">
        <f aca="false">LEN(E129)-SUMPRODUCT(LEN(E129)-LEN(SUBSTITUTE(E129,{"，","。","？","！","、","…","；","：","《","》"," ","“","”","—","（","）","·"},"")))</f>
        <v>25</v>
      </c>
      <c r="K129" s="23"/>
    </row>
    <row r="130" customFormat="false" ht="21" hidden="false" customHeight="true" outlineLevel="0" collapsed="false">
      <c r="A130" s="7" t="s">
        <v>103</v>
      </c>
      <c r="B130" s="15" t="n">
        <v>1</v>
      </c>
      <c r="C130" s="7" t="n">
        <v>24</v>
      </c>
      <c r="D130" s="22" t="s">
        <v>222</v>
      </c>
      <c r="E130" s="4" t="s">
        <v>440</v>
      </c>
      <c r="F130" s="23" t="s">
        <v>397</v>
      </c>
      <c r="G130" s="22" t="s">
        <v>42</v>
      </c>
      <c r="H130" s="3" t="s">
        <v>441</v>
      </c>
      <c r="I130" s="3"/>
      <c r="J130" s="7" t="n">
        <f aca="false">LEN(E130)-SUMPRODUCT(LEN(E130)-LEN(SUBSTITUTE(E130,{"，","。","？","！","、","…","；","：","《","》"," ","“","”","—","（","）","·"},"")))</f>
        <v>12</v>
      </c>
      <c r="K130" s="23"/>
    </row>
    <row r="131" customFormat="false" ht="21" hidden="false" customHeight="true" outlineLevel="0" collapsed="false">
      <c r="A131" s="7" t="s">
        <v>103</v>
      </c>
      <c r="B131" s="15" t="n">
        <v>1</v>
      </c>
      <c r="C131" s="7" t="n">
        <v>25</v>
      </c>
      <c r="D131" s="22" t="s">
        <v>232</v>
      </c>
      <c r="E131" s="4" t="s">
        <v>442</v>
      </c>
      <c r="F131" s="23" t="s">
        <v>245</v>
      </c>
      <c r="G131" s="22" t="s">
        <v>42</v>
      </c>
      <c r="H131" s="3"/>
      <c r="I131" s="3"/>
      <c r="J131" s="7" t="n">
        <f aca="false">LEN(E131)-SUMPRODUCT(LEN(E131)-LEN(SUBSTITUTE(E131,{"，","。","？","！","、","…","；","：","《","》"," ","“","”","—","（","）","·"},"")))</f>
        <v>12</v>
      </c>
      <c r="K131" s="23"/>
    </row>
    <row r="132" customFormat="false" ht="36" hidden="false" customHeight="true" outlineLevel="0" collapsed="false">
      <c r="A132" s="7" t="s">
        <v>103</v>
      </c>
      <c r="B132" s="15" t="n">
        <v>1</v>
      </c>
      <c r="C132" s="7" t="n">
        <v>26</v>
      </c>
      <c r="D132" s="22" t="s">
        <v>219</v>
      </c>
      <c r="E132" s="4" t="s">
        <v>443</v>
      </c>
      <c r="F132" s="23" t="s">
        <v>226</v>
      </c>
      <c r="G132" s="22" t="s">
        <v>40</v>
      </c>
      <c r="H132" s="3"/>
      <c r="I132" s="3"/>
      <c r="J132" s="7" t="n">
        <f aca="false">LEN(E132)-SUMPRODUCT(LEN(E132)-LEN(SUBSTITUTE(E132,{"，","。","？","！","、","…","；","：","《","》"," ","“","”","—","（","）","·"},"")))</f>
        <v>30</v>
      </c>
      <c r="K132" s="23"/>
    </row>
    <row r="133" customFormat="false" ht="36" hidden="false" customHeight="true" outlineLevel="0" collapsed="false">
      <c r="A133" s="7" t="s">
        <v>103</v>
      </c>
      <c r="B133" s="15" t="n">
        <v>1</v>
      </c>
      <c r="C133" s="7" t="n">
        <v>27</v>
      </c>
      <c r="D133" s="22" t="s">
        <v>229</v>
      </c>
      <c r="E133" s="4" t="s">
        <v>444</v>
      </c>
      <c r="F133" s="23" t="s">
        <v>445</v>
      </c>
      <c r="G133" s="22" t="s">
        <v>34</v>
      </c>
      <c r="H133" s="3" t="s">
        <v>446</v>
      </c>
      <c r="I133" s="4" t="s">
        <v>269</v>
      </c>
      <c r="J133" s="7" t="n">
        <f aca="false">LEN(E133)-SUMPRODUCT(LEN(E133)-LEN(SUBSTITUTE(E133,{"，","。","？","！","、","…","；","：","《","》"," ","“","”","—","（","）","·"},"")))</f>
        <v>23</v>
      </c>
      <c r="K133" s="23"/>
    </row>
    <row r="134" customFormat="false" ht="36" hidden="false" customHeight="true" outlineLevel="0" collapsed="false">
      <c r="A134" s="7" t="s">
        <v>103</v>
      </c>
      <c r="B134" s="15" t="n">
        <v>1</v>
      </c>
      <c r="C134" s="7" t="n">
        <v>28</v>
      </c>
      <c r="D134" s="22" t="s">
        <v>219</v>
      </c>
      <c r="E134" s="4" t="s">
        <v>447</v>
      </c>
      <c r="F134" s="23" t="s">
        <v>286</v>
      </c>
      <c r="G134" s="22" t="s">
        <v>34</v>
      </c>
      <c r="H134" s="3" t="s">
        <v>448</v>
      </c>
      <c r="I134" s="3"/>
      <c r="J134" s="7" t="n">
        <f aca="false">LEN(E134)-SUMPRODUCT(LEN(E134)-LEN(SUBSTITUTE(E134,{"，","。","？","！","、","…","；","：","《","》"," ","“","”","—","（","）","·"},"")))</f>
        <v>15</v>
      </c>
      <c r="K134" s="23"/>
    </row>
    <row r="135" customFormat="false" ht="36" hidden="false" customHeight="true" outlineLevel="0" collapsed="false">
      <c r="A135" s="7" t="s">
        <v>103</v>
      </c>
      <c r="B135" s="15" t="n">
        <v>1</v>
      </c>
      <c r="C135" s="7" t="n">
        <v>29</v>
      </c>
      <c r="D135" s="22" t="s">
        <v>219</v>
      </c>
      <c r="E135" s="4" t="s">
        <v>449</v>
      </c>
      <c r="F135" s="23" t="s">
        <v>450</v>
      </c>
      <c r="G135" s="22" t="s">
        <v>34</v>
      </c>
      <c r="H135" s="3" t="s">
        <v>448</v>
      </c>
      <c r="I135" s="3"/>
      <c r="J135" s="7" t="n">
        <f aca="false">LEN(E135)-SUMPRODUCT(LEN(E135)-LEN(SUBSTITUTE(E135,{"，","。","？","！","、","…","；","：","《","》"," ","“","”","—","（","）","·"},"")))</f>
        <v>38</v>
      </c>
      <c r="K135" s="23"/>
    </row>
    <row r="136" customFormat="false" ht="21" hidden="false" customHeight="true" outlineLevel="0" collapsed="false">
      <c r="A136" s="7" t="s">
        <v>103</v>
      </c>
      <c r="B136" s="15" t="n">
        <v>1</v>
      </c>
      <c r="C136" s="7" t="n">
        <v>30</v>
      </c>
      <c r="D136" s="22" t="s">
        <v>222</v>
      </c>
      <c r="E136" s="4" t="s">
        <v>451</v>
      </c>
      <c r="F136" s="23"/>
      <c r="G136" s="22" t="s">
        <v>42</v>
      </c>
      <c r="H136" s="3"/>
      <c r="I136" s="3"/>
      <c r="J136" s="7" t="n">
        <f aca="false">LEN(E136)-SUMPRODUCT(LEN(E136)-LEN(SUBSTITUTE(E136,{"，","。","？","！","、","…","；","：","《","》"," ","“","”","—","（","）","·"},"")))</f>
        <v>2</v>
      </c>
      <c r="K136" s="23"/>
    </row>
    <row r="137" customFormat="false" ht="21" hidden="false" customHeight="true" outlineLevel="0" collapsed="false">
      <c r="A137" s="7" t="s">
        <v>103</v>
      </c>
      <c r="B137" s="15" t="n">
        <v>1</v>
      </c>
      <c r="C137" s="7" t="n">
        <v>31</v>
      </c>
      <c r="D137" s="22" t="s">
        <v>232</v>
      </c>
      <c r="E137" s="4" t="s">
        <v>452</v>
      </c>
      <c r="F137" s="23"/>
      <c r="G137" s="22" t="s">
        <v>42</v>
      </c>
      <c r="H137" s="3"/>
      <c r="I137" s="3"/>
      <c r="J137" s="7" t="n">
        <f aca="false">LEN(E137)-SUMPRODUCT(LEN(E137)-LEN(SUBSTITUTE(E137,{"，","。","？","！","、","…","；","：","《","》"," ","“","”","—","（","）","·"},"")))</f>
        <v>2</v>
      </c>
      <c r="K137" s="23"/>
    </row>
    <row r="138" customFormat="false" ht="36" hidden="false" customHeight="true" outlineLevel="0" collapsed="false">
      <c r="A138" s="7" t="s">
        <v>103</v>
      </c>
      <c r="B138" s="15" t="n">
        <v>1</v>
      </c>
      <c r="C138" s="7" t="n">
        <v>32</v>
      </c>
      <c r="D138" s="22" t="s">
        <v>219</v>
      </c>
      <c r="E138" s="4" t="s">
        <v>453</v>
      </c>
      <c r="F138" s="23" t="s">
        <v>454</v>
      </c>
      <c r="G138" s="22" t="s">
        <v>40</v>
      </c>
      <c r="H138" s="4" t="s">
        <v>455</v>
      </c>
      <c r="I138" s="3"/>
      <c r="J138" s="7" t="n">
        <f aca="false">LEN(E138)-SUMPRODUCT(LEN(E138)-LEN(SUBSTITUTE(E138,{"，","。","？","！","、","…","；","：","《","》"," ","“","”","—","（","）","·"},"")))</f>
        <v>32</v>
      </c>
      <c r="K138" s="23"/>
    </row>
    <row r="139" customFormat="false" ht="36" hidden="false" customHeight="true" outlineLevel="0" collapsed="false">
      <c r="A139" s="7" t="s">
        <v>103</v>
      </c>
      <c r="B139" s="15" t="n">
        <v>1</v>
      </c>
      <c r="C139" s="7" t="n">
        <v>33</v>
      </c>
      <c r="D139" s="22" t="s">
        <v>219</v>
      </c>
      <c r="E139" s="4" t="s">
        <v>456</v>
      </c>
      <c r="F139" s="23" t="s">
        <v>226</v>
      </c>
      <c r="G139" s="22" t="s">
        <v>40</v>
      </c>
      <c r="H139" s="4" t="s">
        <v>457</v>
      </c>
      <c r="I139" s="3"/>
      <c r="J139" s="7" t="n">
        <f aca="false">LEN(E139)-SUMPRODUCT(LEN(E139)-LEN(SUBSTITUTE(E139,{"，","。","？","！","、","…","；","：","《","》"," ","“","”","—","（","）","·"},"")))</f>
        <v>26</v>
      </c>
      <c r="K139" s="23"/>
    </row>
    <row r="140" customFormat="false" ht="36" hidden="false" customHeight="true" outlineLevel="0" collapsed="false">
      <c r="A140" s="7" t="s">
        <v>103</v>
      </c>
      <c r="B140" s="15" t="n">
        <v>1</v>
      </c>
      <c r="C140" s="7" t="n">
        <v>34</v>
      </c>
      <c r="D140" s="22" t="s">
        <v>219</v>
      </c>
      <c r="E140" s="4" t="s">
        <v>458</v>
      </c>
      <c r="F140" s="23" t="s">
        <v>226</v>
      </c>
      <c r="G140" s="22" t="s">
        <v>40</v>
      </c>
      <c r="H140" s="4" t="s">
        <v>459</v>
      </c>
      <c r="I140" s="3"/>
      <c r="J140" s="7" t="n">
        <f aca="false">LEN(E140)-SUMPRODUCT(LEN(E140)-LEN(SUBSTITUTE(E140,{"，","。","？","！","、","…","；","：","《","》"," ","“","”","—","（","）","·"},"")))</f>
        <v>32</v>
      </c>
      <c r="K140" s="23"/>
    </row>
    <row r="141" customFormat="false" ht="21" hidden="false" customHeight="true" outlineLevel="0" collapsed="false">
      <c r="A141" s="7" t="s">
        <v>103</v>
      </c>
      <c r="B141" s="15" t="n">
        <v>1</v>
      </c>
      <c r="C141" s="7" t="n">
        <v>35</v>
      </c>
      <c r="D141" s="22" t="s">
        <v>222</v>
      </c>
      <c r="E141" s="4" t="s">
        <v>460</v>
      </c>
      <c r="F141" s="23" t="s">
        <v>243</v>
      </c>
      <c r="G141" s="22" t="s">
        <v>42</v>
      </c>
      <c r="H141" s="3"/>
      <c r="I141" s="3"/>
      <c r="J141" s="7" t="n">
        <f aca="false">LEN(E141)-SUMPRODUCT(LEN(E141)-LEN(SUBSTITUTE(E141,{"，","。","？","！","、","…","；","：","《","》"," ","“","”","—","（","）","·"},"")))</f>
        <v>8</v>
      </c>
      <c r="K141" s="23"/>
    </row>
    <row r="142" customFormat="false" ht="21" hidden="false" customHeight="true" outlineLevel="0" collapsed="false">
      <c r="A142" s="7" t="s">
        <v>103</v>
      </c>
      <c r="B142" s="15" t="n">
        <v>1</v>
      </c>
      <c r="C142" s="7" t="n">
        <v>36</v>
      </c>
      <c r="D142" s="22" t="s">
        <v>232</v>
      </c>
      <c r="E142" s="4" t="s">
        <v>461</v>
      </c>
      <c r="F142" s="23" t="s">
        <v>245</v>
      </c>
      <c r="G142" s="22" t="s">
        <v>42</v>
      </c>
      <c r="H142" s="3"/>
      <c r="I142" s="3"/>
      <c r="J142" s="7" t="n">
        <f aca="false">LEN(E142)-SUMPRODUCT(LEN(E142)-LEN(SUBSTITUTE(E142,{"，","。","？","！","、","…","；","：","《","》"," ","“","”","—","（","）","·"},"")))</f>
        <v>5</v>
      </c>
      <c r="K142" s="23"/>
    </row>
    <row r="143" customFormat="false" ht="36" hidden="false" customHeight="true" outlineLevel="0" collapsed="false">
      <c r="A143" s="7" t="s">
        <v>103</v>
      </c>
      <c r="B143" s="15" t="n">
        <v>1</v>
      </c>
      <c r="C143" s="7" t="n">
        <v>37</v>
      </c>
      <c r="D143" s="22" t="s">
        <v>229</v>
      </c>
      <c r="E143" s="4" t="s">
        <v>462</v>
      </c>
      <c r="F143" s="23" t="s">
        <v>258</v>
      </c>
      <c r="G143" s="22" t="s">
        <v>40</v>
      </c>
      <c r="H143" s="3"/>
      <c r="I143" s="3"/>
      <c r="J143" s="7" t="n">
        <f aca="false">LEN(E143)-SUMPRODUCT(LEN(E143)-LEN(SUBSTITUTE(E143,{"，","。","？","！","、","…","；","：","《","》"," ","“","”","—","（","）","·"},"")))</f>
        <v>14</v>
      </c>
      <c r="K143" s="23"/>
    </row>
    <row r="144" customFormat="false" ht="36" hidden="false" customHeight="true" outlineLevel="0" collapsed="false">
      <c r="A144" s="7" t="s">
        <v>103</v>
      </c>
      <c r="B144" s="15" t="n">
        <v>1</v>
      </c>
      <c r="C144" s="7" t="n">
        <v>38</v>
      </c>
      <c r="D144" s="22" t="s">
        <v>219</v>
      </c>
      <c r="E144" s="4" t="s">
        <v>463</v>
      </c>
      <c r="F144" s="23" t="s">
        <v>262</v>
      </c>
      <c r="G144" s="22" t="s">
        <v>40</v>
      </c>
      <c r="H144" s="3"/>
      <c r="I144" s="4" t="s">
        <v>432</v>
      </c>
      <c r="J144" s="7" t="n">
        <f aca="false">LEN(E144)-SUMPRODUCT(LEN(E144)-LEN(SUBSTITUTE(E144,{"，","。","？","！","、","…","；","：","《","》"," ","“","”","—","（","）","·"},"")))</f>
        <v>34</v>
      </c>
      <c r="K144" s="23"/>
    </row>
    <row r="145" customFormat="false" ht="51" hidden="false" customHeight="true" outlineLevel="0" collapsed="false">
      <c r="A145" s="7" t="s">
        <v>103</v>
      </c>
      <c r="B145" s="15" t="n">
        <v>1</v>
      </c>
      <c r="C145" s="7" t="n">
        <v>39</v>
      </c>
      <c r="D145" s="22" t="s">
        <v>219</v>
      </c>
      <c r="E145" s="4" t="s">
        <v>464</v>
      </c>
      <c r="F145" s="23" t="s">
        <v>226</v>
      </c>
      <c r="G145" s="22" t="s">
        <v>36</v>
      </c>
      <c r="H145" s="3"/>
      <c r="I145" s="4" t="s">
        <v>369</v>
      </c>
      <c r="J145" s="7" t="n">
        <f aca="false">LEN(E145)-SUMPRODUCT(LEN(E145)-LEN(SUBSTITUTE(E145,{"，","。","？","！","、","…","；","：","《","》"," ","“","”","—","（","）","·"},"")))</f>
        <v>47</v>
      </c>
      <c r="K145" s="23"/>
    </row>
    <row r="146" customFormat="false" ht="36" hidden="false" customHeight="true" outlineLevel="0" collapsed="false">
      <c r="A146" s="7" t="s">
        <v>103</v>
      </c>
      <c r="B146" s="15" t="n">
        <v>1</v>
      </c>
      <c r="C146" s="7" t="n">
        <v>40</v>
      </c>
      <c r="D146" s="22" t="s">
        <v>222</v>
      </c>
      <c r="E146" s="4" t="s">
        <v>465</v>
      </c>
      <c r="F146" s="23"/>
      <c r="G146" s="22" t="s">
        <v>30</v>
      </c>
      <c r="H146" s="3"/>
      <c r="I146" s="3"/>
      <c r="J146" s="7" t="n">
        <f aca="false">LEN(E146)-SUMPRODUCT(LEN(E146)-LEN(SUBSTITUTE(E146,{"，","。","？","！","、","…","；","：","《","》"," ","“","”","—","（","）","·"},"")))</f>
        <v>17</v>
      </c>
      <c r="K146" s="23"/>
    </row>
    <row r="147" customFormat="false" ht="36" hidden="false" customHeight="true" outlineLevel="0" collapsed="false">
      <c r="A147" s="7" t="s">
        <v>103</v>
      </c>
      <c r="B147" s="15" t="n">
        <v>1</v>
      </c>
      <c r="C147" s="7" t="n">
        <v>41</v>
      </c>
      <c r="D147" s="22" t="s">
        <v>219</v>
      </c>
      <c r="E147" s="4" t="s">
        <v>466</v>
      </c>
      <c r="F147" s="23" t="s">
        <v>467</v>
      </c>
      <c r="G147" s="22" t="s">
        <v>36</v>
      </c>
      <c r="H147" s="3"/>
      <c r="I147" s="3"/>
      <c r="J147" s="7" t="n">
        <f aca="false">LEN(E147)-SUMPRODUCT(LEN(E147)-LEN(SUBSTITUTE(E147,{"，","。","？","！","、","…","；","：","《","》"," ","“","”","—","（","）","·"},"")))</f>
        <v>11</v>
      </c>
      <c r="K147" s="23"/>
    </row>
    <row r="148" customFormat="false" ht="21" hidden="false" customHeight="true" outlineLevel="0" collapsed="false">
      <c r="A148" s="7" t="s">
        <v>103</v>
      </c>
      <c r="B148" s="15" t="n">
        <v>1</v>
      </c>
      <c r="C148" s="7" t="n">
        <v>42</v>
      </c>
      <c r="D148" s="22" t="s">
        <v>232</v>
      </c>
      <c r="E148" s="4" t="s">
        <v>244</v>
      </c>
      <c r="F148" s="23"/>
      <c r="G148" s="22" t="s">
        <v>42</v>
      </c>
      <c r="H148" s="3"/>
      <c r="I148" s="3"/>
      <c r="J148" s="7" t="n">
        <f aca="false">LEN(E148)-SUMPRODUCT(LEN(E148)-LEN(SUBSTITUTE(E148,{"，","。","？","！","、","…","；","：","《","》"," ","“","”","—","（","）","·"},"")))</f>
        <v>1</v>
      </c>
      <c r="K148" s="23"/>
    </row>
    <row r="149" customFormat="false" ht="36" hidden="false" customHeight="true" outlineLevel="0" collapsed="false">
      <c r="A149" s="7" t="s">
        <v>103</v>
      </c>
      <c r="B149" s="15" t="n">
        <v>1</v>
      </c>
      <c r="C149" s="7" t="n">
        <v>43</v>
      </c>
      <c r="D149" s="22" t="s">
        <v>219</v>
      </c>
      <c r="E149" s="4" t="s">
        <v>468</v>
      </c>
      <c r="F149" s="23" t="s">
        <v>469</v>
      </c>
      <c r="G149" s="22" t="s">
        <v>40</v>
      </c>
      <c r="H149" s="3"/>
      <c r="I149" s="4" t="s">
        <v>429</v>
      </c>
      <c r="J149" s="7" t="n">
        <f aca="false">LEN(E149)-SUMPRODUCT(LEN(E149)-LEN(SUBSTITUTE(E149,{"，","。","？","！","、","…","；","：","《","》"," ","“","”","—","（","）","·"},"")))</f>
        <v>21</v>
      </c>
      <c r="K149" s="23"/>
    </row>
    <row r="150" customFormat="false" ht="21" hidden="false" customHeight="true" outlineLevel="0" collapsed="false">
      <c r="A150" s="7" t="s">
        <v>103</v>
      </c>
      <c r="B150" s="15" t="n">
        <v>1</v>
      </c>
      <c r="C150" s="7" t="n">
        <v>44</v>
      </c>
      <c r="D150" s="22" t="s">
        <v>222</v>
      </c>
      <c r="E150" s="4" t="s">
        <v>470</v>
      </c>
      <c r="F150" s="23"/>
      <c r="G150" s="22" t="s">
        <v>42</v>
      </c>
      <c r="H150" s="3"/>
      <c r="I150" s="3"/>
      <c r="J150" s="7" t="n">
        <f aca="false">LEN(E150)-SUMPRODUCT(LEN(E150)-LEN(SUBSTITUTE(E150,{"，","。","？","！","、","…","；","：","《","》"," ","“","”","—","（","）","·"},"")))</f>
        <v>2</v>
      </c>
      <c r="K150" s="23"/>
    </row>
    <row r="151" customFormat="false" ht="21" hidden="false" customHeight="true" outlineLevel="0" collapsed="false">
      <c r="A151" s="7" t="s">
        <v>103</v>
      </c>
      <c r="B151" s="15" t="n">
        <v>1</v>
      </c>
      <c r="C151" s="7" t="n">
        <v>45</v>
      </c>
      <c r="D151" s="22" t="s">
        <v>229</v>
      </c>
      <c r="E151" s="4" t="s">
        <v>471</v>
      </c>
      <c r="F151" s="23"/>
      <c r="G151" s="22" t="s">
        <v>42</v>
      </c>
      <c r="H151" s="3"/>
      <c r="I151" s="3"/>
      <c r="J151" s="7" t="n">
        <f aca="false">LEN(E151)-SUMPRODUCT(LEN(E151)-LEN(SUBSTITUTE(E151,{"，","。","？","！","、","…","；","：","《","》"," ","“","”","—","（","）","·"},"")))</f>
        <v>15</v>
      </c>
      <c r="K151" s="23"/>
    </row>
    <row r="152" customFormat="false" ht="21" hidden="false" customHeight="true" outlineLevel="0" collapsed="false">
      <c r="A152" s="7" t="s">
        <v>103</v>
      </c>
      <c r="B152" s="15" t="n">
        <v>1</v>
      </c>
      <c r="C152" s="7" t="n">
        <v>46</v>
      </c>
      <c r="D152" s="22" t="s">
        <v>232</v>
      </c>
      <c r="E152" s="4" t="s">
        <v>273</v>
      </c>
      <c r="F152" s="23"/>
      <c r="G152" s="22" t="s">
        <v>42</v>
      </c>
      <c r="H152" s="3"/>
      <c r="I152" s="3"/>
      <c r="J152" s="7" t="n">
        <f aca="false">LEN(E152)-SUMPRODUCT(LEN(E152)-LEN(SUBSTITUTE(E152,{"，","。","？","！","、","…","；","：","《","》"," ","“","”","—","（","）","·"},"")))</f>
        <v>3</v>
      </c>
      <c r="K152" s="23"/>
    </row>
    <row r="153" customFormat="false" ht="51" hidden="false" customHeight="true" outlineLevel="0" collapsed="false">
      <c r="A153" s="7" t="s">
        <v>107</v>
      </c>
      <c r="B153" s="15" t="n">
        <v>2</v>
      </c>
      <c r="C153" s="7" t="n">
        <v>1</v>
      </c>
      <c r="D153" s="22" t="s">
        <v>472</v>
      </c>
      <c r="E153" s="4" t="s">
        <v>473</v>
      </c>
      <c r="F153" s="23" t="s">
        <v>474</v>
      </c>
      <c r="G153" s="22" t="s">
        <v>30</v>
      </c>
      <c r="H153" s="3"/>
      <c r="I153" s="4" t="s">
        <v>475</v>
      </c>
      <c r="J153" s="7" t="n">
        <f aca="false">LEN(E153)-SUMPRODUCT(LEN(E153)-LEN(SUBSTITUTE(E153,{"，","。","？","！","、","…","；","：","《","》"," ","“","”","—","（","）","·"},"")))</f>
        <v>55</v>
      </c>
      <c r="K153" s="23"/>
    </row>
    <row r="154" customFormat="false" ht="21" hidden="false" customHeight="true" outlineLevel="0" collapsed="false">
      <c r="A154" s="7" t="s">
        <v>107</v>
      </c>
      <c r="B154" s="15" t="n">
        <v>2</v>
      </c>
      <c r="C154" s="7" t="n">
        <v>2</v>
      </c>
      <c r="D154" s="22" t="s">
        <v>232</v>
      </c>
      <c r="E154" s="4" t="s">
        <v>476</v>
      </c>
      <c r="F154" s="23" t="s">
        <v>477</v>
      </c>
      <c r="G154" s="22" t="s">
        <v>42</v>
      </c>
      <c r="H154" s="3"/>
      <c r="I154" s="3"/>
      <c r="J154" s="7" t="n">
        <f aca="false">LEN(E154)-SUMPRODUCT(LEN(E154)-LEN(SUBSTITUTE(E154,{"，","。","？","！","、","…","；","：","《","》"," ","“","”","—","（","）","·"},"")))</f>
        <v>10</v>
      </c>
      <c r="K154" s="23"/>
    </row>
    <row r="155" customFormat="false" ht="21" hidden="false" customHeight="true" outlineLevel="0" collapsed="false">
      <c r="A155" s="7" t="s">
        <v>107</v>
      </c>
      <c r="B155" s="15" t="n">
        <v>2</v>
      </c>
      <c r="C155" s="7" t="n">
        <v>3</v>
      </c>
      <c r="D155" s="22" t="s">
        <v>222</v>
      </c>
      <c r="E155" s="4" t="s">
        <v>478</v>
      </c>
      <c r="F155" s="23" t="s">
        <v>477</v>
      </c>
      <c r="G155" s="22" t="s">
        <v>42</v>
      </c>
      <c r="H155" s="3"/>
      <c r="I155" s="3"/>
      <c r="J155" s="7" t="n">
        <f aca="false">LEN(E155)-SUMPRODUCT(LEN(E155)-LEN(SUBSTITUTE(E155,{"，","。","？","！","、","…","；","：","《","》"," ","“","”","—","（","）","·"},"")))</f>
        <v>5</v>
      </c>
      <c r="K155" s="23"/>
    </row>
    <row r="156" customFormat="false" ht="51" hidden="false" customHeight="true" outlineLevel="0" collapsed="false">
      <c r="A156" s="7" t="s">
        <v>107</v>
      </c>
      <c r="B156" s="15" t="n">
        <v>2</v>
      </c>
      <c r="C156" s="7" t="n">
        <v>4</v>
      </c>
      <c r="D156" s="22" t="s">
        <v>472</v>
      </c>
      <c r="E156" s="4" t="s">
        <v>479</v>
      </c>
      <c r="F156" s="23" t="s">
        <v>474</v>
      </c>
      <c r="G156" s="22" t="s">
        <v>30</v>
      </c>
      <c r="H156" s="3"/>
      <c r="I156" s="4" t="s">
        <v>480</v>
      </c>
      <c r="J156" s="7" t="n">
        <f aca="false">LEN(E156)-SUMPRODUCT(LEN(E156)-LEN(SUBSTITUTE(E156,{"，","。","？","！","、","…","；","：","《","》"," ","“","”","—","（","）","·"},"")))</f>
        <v>67</v>
      </c>
      <c r="K156" s="23"/>
    </row>
    <row r="157" customFormat="false" ht="36" hidden="false" customHeight="true" outlineLevel="0" collapsed="false">
      <c r="A157" s="7" t="s">
        <v>107</v>
      </c>
      <c r="B157" s="15" t="n">
        <v>2</v>
      </c>
      <c r="C157" s="7" t="n">
        <v>5</v>
      </c>
      <c r="D157" s="22" t="s">
        <v>481</v>
      </c>
      <c r="E157" s="4" t="s">
        <v>482</v>
      </c>
      <c r="F157" s="23" t="s">
        <v>477</v>
      </c>
      <c r="G157" s="22" t="s">
        <v>30</v>
      </c>
      <c r="H157" s="3"/>
      <c r="I157" s="3"/>
      <c r="J157" s="7" t="n">
        <f aca="false">LEN(E157)-SUMPRODUCT(LEN(E157)-LEN(SUBSTITUTE(E157,{"，","。","？","！","、","…","；","：","《","》"," ","“","”","—","（","）","·"},"")))</f>
        <v>13</v>
      </c>
      <c r="K157" s="23"/>
    </row>
    <row r="158" customFormat="false" ht="36" hidden="false" customHeight="true" outlineLevel="0" collapsed="false">
      <c r="A158" s="7" t="s">
        <v>107</v>
      </c>
      <c r="B158" s="15" t="n">
        <v>2</v>
      </c>
      <c r="C158" s="7" t="n">
        <v>6</v>
      </c>
      <c r="D158" s="22" t="s">
        <v>232</v>
      </c>
      <c r="E158" s="4" t="s">
        <v>483</v>
      </c>
      <c r="F158" s="23" t="s">
        <v>477</v>
      </c>
      <c r="G158" s="22" t="s">
        <v>30</v>
      </c>
      <c r="H158" s="3"/>
      <c r="I158" s="3"/>
      <c r="J158" s="7" t="n">
        <f aca="false">LEN(E158)-SUMPRODUCT(LEN(E158)-LEN(SUBSTITUTE(E158,{"，","。","？","！","、","…","；","：","《","》"," ","“","”","—","（","）","·"},"")))</f>
        <v>10</v>
      </c>
      <c r="K158" s="23"/>
    </row>
    <row r="159" customFormat="false" ht="36" hidden="false" customHeight="true" outlineLevel="0" collapsed="false">
      <c r="A159" s="7" t="s">
        <v>107</v>
      </c>
      <c r="B159" s="15" t="n">
        <v>2</v>
      </c>
      <c r="C159" s="7" t="n">
        <v>7</v>
      </c>
      <c r="D159" s="22" t="s">
        <v>472</v>
      </c>
      <c r="E159" s="4" t="s">
        <v>484</v>
      </c>
      <c r="F159" s="23" t="s">
        <v>485</v>
      </c>
      <c r="G159" s="22" t="s">
        <v>30</v>
      </c>
      <c r="H159" s="3"/>
      <c r="I159" s="3"/>
      <c r="J159" s="7" t="n">
        <f aca="false">LEN(E159)-SUMPRODUCT(LEN(E159)-LEN(SUBSTITUTE(E159,{"，","。","？","！","、","…","；","：","《","》"," ","“","”","—","（","）","·"},"")))</f>
        <v>27</v>
      </c>
      <c r="K159" s="23"/>
    </row>
    <row r="160" customFormat="false" ht="36" hidden="false" customHeight="true" outlineLevel="0" collapsed="false">
      <c r="A160" s="7" t="s">
        <v>107</v>
      </c>
      <c r="B160" s="15" t="n">
        <v>2</v>
      </c>
      <c r="C160" s="7" t="n">
        <v>8</v>
      </c>
      <c r="D160" s="22" t="s">
        <v>232</v>
      </c>
      <c r="E160" s="4" t="s">
        <v>486</v>
      </c>
      <c r="F160" s="23" t="s">
        <v>487</v>
      </c>
      <c r="G160" s="22" t="s">
        <v>30</v>
      </c>
      <c r="H160" s="3"/>
      <c r="I160" s="3"/>
      <c r="J160" s="7" t="n">
        <f aca="false">LEN(E160)-SUMPRODUCT(LEN(E160)-LEN(SUBSTITUTE(E160,{"，","。","？","！","、","…","；","：","《","》"," ","“","”","—","（","）","·"},"")))</f>
        <v>8</v>
      </c>
      <c r="K160" s="23"/>
    </row>
    <row r="161" customFormat="false" ht="36" hidden="false" customHeight="true" outlineLevel="0" collapsed="false">
      <c r="A161" s="7" t="s">
        <v>107</v>
      </c>
      <c r="B161" s="15" t="n">
        <v>2</v>
      </c>
      <c r="C161" s="7" t="n">
        <v>9</v>
      </c>
      <c r="D161" s="22" t="s">
        <v>222</v>
      </c>
      <c r="E161" s="4" t="s">
        <v>488</v>
      </c>
      <c r="F161" s="23" t="s">
        <v>489</v>
      </c>
      <c r="G161" s="22" t="s">
        <v>30</v>
      </c>
      <c r="H161" s="3"/>
      <c r="I161" s="3"/>
      <c r="J161" s="7" t="n">
        <f aca="false">LEN(E161)-SUMPRODUCT(LEN(E161)-LEN(SUBSTITUTE(E161,{"，","。","？","！","、","…","；","：","《","》"," ","“","”","—","（","）","·"},"")))</f>
        <v>14</v>
      </c>
      <c r="K161" s="23"/>
    </row>
    <row r="162" customFormat="false" ht="21" hidden="false" customHeight="true" outlineLevel="0" collapsed="false">
      <c r="A162" s="7" t="s">
        <v>107</v>
      </c>
      <c r="B162" s="15" t="n">
        <v>2</v>
      </c>
      <c r="C162" s="7" t="n">
        <v>10</v>
      </c>
      <c r="D162" s="22" t="s">
        <v>481</v>
      </c>
      <c r="E162" s="4" t="s">
        <v>490</v>
      </c>
      <c r="F162" s="23" t="s">
        <v>477</v>
      </c>
      <c r="G162" s="22" t="s">
        <v>42</v>
      </c>
      <c r="H162" s="3"/>
      <c r="I162" s="3"/>
      <c r="J162" s="7" t="n">
        <f aca="false">LEN(E162)-SUMPRODUCT(LEN(E162)-LEN(SUBSTITUTE(E162,{"，","。","？","！","、","…","；","：","《","》"," ","“","”","—","（","）","·"},"")))</f>
        <v>7</v>
      </c>
      <c r="K162" s="23"/>
    </row>
    <row r="163" customFormat="false" ht="36" hidden="false" customHeight="true" outlineLevel="0" collapsed="false">
      <c r="A163" s="7" t="s">
        <v>107</v>
      </c>
      <c r="B163" s="15" t="n">
        <v>2</v>
      </c>
      <c r="C163" s="7" t="n">
        <v>11</v>
      </c>
      <c r="D163" s="22" t="s">
        <v>472</v>
      </c>
      <c r="E163" s="4" t="s">
        <v>491</v>
      </c>
      <c r="F163" s="23" t="s">
        <v>474</v>
      </c>
      <c r="G163" s="22" t="s">
        <v>32</v>
      </c>
      <c r="H163" s="3" t="s">
        <v>492</v>
      </c>
      <c r="I163" s="3"/>
      <c r="J163" s="7" t="n">
        <f aca="false">LEN(E163)-SUMPRODUCT(LEN(E163)-LEN(SUBSTITUTE(E163,{"，","。","？","！","、","…","；","：","《","》"," ","“","”","—","（","）","·"},"")))</f>
        <v>41</v>
      </c>
      <c r="K163" s="23"/>
    </row>
    <row r="164" customFormat="false" ht="36" hidden="false" customHeight="true" outlineLevel="0" collapsed="false">
      <c r="A164" s="7" t="s">
        <v>107</v>
      </c>
      <c r="B164" s="15" t="n">
        <v>2</v>
      </c>
      <c r="C164" s="7" t="n">
        <v>12</v>
      </c>
      <c r="D164" s="22" t="s">
        <v>481</v>
      </c>
      <c r="E164" s="4" t="s">
        <v>493</v>
      </c>
      <c r="F164" s="23" t="s">
        <v>494</v>
      </c>
      <c r="G164" s="22" t="s">
        <v>32</v>
      </c>
      <c r="H164" s="3" t="s">
        <v>495</v>
      </c>
      <c r="I164" s="3"/>
      <c r="J164" s="7" t="n">
        <f aca="false">LEN(E164)-SUMPRODUCT(LEN(E164)-LEN(SUBSTITUTE(E164,{"，","。","？","！","、","…","；","：","《","》"," ","“","”","—","（","）","·"},"")))</f>
        <v>3</v>
      </c>
      <c r="K164" s="23"/>
    </row>
    <row r="165" customFormat="false" ht="51" hidden="false" customHeight="true" outlineLevel="0" collapsed="false">
      <c r="A165" s="7" t="s">
        <v>107</v>
      </c>
      <c r="B165" s="15" t="n">
        <v>2</v>
      </c>
      <c r="C165" s="7" t="n">
        <v>13</v>
      </c>
      <c r="D165" s="22" t="s">
        <v>222</v>
      </c>
      <c r="E165" s="4" t="s">
        <v>496</v>
      </c>
      <c r="F165" s="23" t="s">
        <v>497</v>
      </c>
      <c r="G165" s="22" t="s">
        <v>32</v>
      </c>
      <c r="H165" s="3"/>
      <c r="I165" s="3"/>
      <c r="J165" s="7" t="n">
        <f aca="false">LEN(E165)-SUMPRODUCT(LEN(E165)-LEN(SUBSTITUTE(E165,{"，","。","？","！","、","…","；","：","《","》"," ","“","”","—","（","）","·"},"")))</f>
        <v>11</v>
      </c>
      <c r="K165" s="23"/>
    </row>
    <row r="166" customFormat="false" ht="51" hidden="false" customHeight="true" outlineLevel="0" collapsed="false">
      <c r="A166" s="7" t="s">
        <v>107</v>
      </c>
      <c r="B166" s="15" t="n">
        <v>2</v>
      </c>
      <c r="C166" s="7" t="n">
        <v>14</v>
      </c>
      <c r="D166" s="22" t="s">
        <v>472</v>
      </c>
      <c r="E166" s="4" t="s">
        <v>498</v>
      </c>
      <c r="F166" s="23" t="s">
        <v>474</v>
      </c>
      <c r="G166" s="22" t="s">
        <v>32</v>
      </c>
      <c r="H166" s="3" t="s">
        <v>499</v>
      </c>
      <c r="I166" s="4" t="s">
        <v>480</v>
      </c>
      <c r="J166" s="7" t="n">
        <f aca="false">LEN(E166)-SUMPRODUCT(LEN(E166)-LEN(SUBSTITUTE(E166,{"，","。","？","！","、","…","；","：","《","》"," ","“","”","—","（","）","·"},"")))</f>
        <v>54</v>
      </c>
      <c r="K166" s="23"/>
    </row>
    <row r="167" customFormat="false" ht="36" hidden="false" customHeight="true" outlineLevel="0" collapsed="false">
      <c r="A167" s="7" t="s">
        <v>107</v>
      </c>
      <c r="B167" s="15" t="n">
        <v>2</v>
      </c>
      <c r="C167" s="7" t="n">
        <v>15</v>
      </c>
      <c r="D167" s="22" t="s">
        <v>232</v>
      </c>
      <c r="E167" s="4" t="s">
        <v>500</v>
      </c>
      <c r="F167" s="23" t="s">
        <v>501</v>
      </c>
      <c r="G167" s="22" t="s">
        <v>32</v>
      </c>
      <c r="H167" s="3" t="s">
        <v>502</v>
      </c>
      <c r="I167" s="3"/>
      <c r="J167" s="7" t="n">
        <f aca="false">LEN(E167)-SUMPRODUCT(LEN(E167)-LEN(SUBSTITUTE(E167,{"，","。","？","！","、","…","；","：","《","》"," ","“","”","—","（","）","·"},"")))</f>
        <v>7</v>
      </c>
      <c r="K167" s="23"/>
    </row>
    <row r="168" customFormat="false" ht="21" hidden="false" customHeight="true" outlineLevel="0" collapsed="false">
      <c r="A168" s="7" t="s">
        <v>107</v>
      </c>
      <c r="B168" s="15" t="n">
        <v>2</v>
      </c>
      <c r="C168" s="7" t="n">
        <v>16</v>
      </c>
      <c r="D168" s="22" t="s">
        <v>481</v>
      </c>
      <c r="E168" s="4" t="s">
        <v>503</v>
      </c>
      <c r="F168" s="23" t="s">
        <v>477</v>
      </c>
      <c r="G168" s="22" t="s">
        <v>32</v>
      </c>
      <c r="H168" s="3" t="s">
        <v>502</v>
      </c>
      <c r="I168" s="3"/>
      <c r="J168" s="7" t="n">
        <f aca="false">LEN(E168)-SUMPRODUCT(LEN(E168)-LEN(SUBSTITUTE(E168,{"，","。","？","！","、","…","；","：","《","》"," ","“","”","—","（","）","·"},"")))</f>
        <v>14</v>
      </c>
      <c r="K168" s="23"/>
    </row>
    <row r="169" customFormat="false" ht="36" hidden="false" customHeight="true" outlineLevel="0" collapsed="false">
      <c r="A169" s="7" t="s">
        <v>107</v>
      </c>
      <c r="B169" s="15" t="n">
        <v>2</v>
      </c>
      <c r="C169" s="7" t="n">
        <v>17</v>
      </c>
      <c r="D169" s="22" t="s">
        <v>222</v>
      </c>
      <c r="E169" s="4" t="s">
        <v>504</v>
      </c>
      <c r="F169" s="23" t="s">
        <v>477</v>
      </c>
      <c r="G169" s="22" t="s">
        <v>30</v>
      </c>
      <c r="H169" s="3"/>
      <c r="I169" s="3"/>
      <c r="J169" s="7" t="n">
        <f aca="false">LEN(E169)-SUMPRODUCT(LEN(E169)-LEN(SUBSTITUTE(E169,{"，","。","？","！","、","…","；","：","《","》"," ","“","”","—","（","）","·"},"")))</f>
        <v>15</v>
      </c>
      <c r="K169" s="23"/>
    </row>
    <row r="170" customFormat="false" ht="36" hidden="false" customHeight="true" outlineLevel="0" collapsed="false">
      <c r="A170" s="7" t="s">
        <v>107</v>
      </c>
      <c r="B170" s="15" t="n">
        <v>2</v>
      </c>
      <c r="C170" s="7" t="n">
        <v>18</v>
      </c>
      <c r="D170" s="22" t="s">
        <v>481</v>
      </c>
      <c r="E170" s="4" t="s">
        <v>505</v>
      </c>
      <c r="F170" s="23" t="s">
        <v>477</v>
      </c>
      <c r="G170" s="22" t="s">
        <v>30</v>
      </c>
      <c r="H170" s="3"/>
      <c r="I170" s="3"/>
      <c r="J170" s="7" t="n">
        <f aca="false">LEN(E170)-SUMPRODUCT(LEN(E170)-LEN(SUBSTITUTE(E170,{"，","。","？","！","、","…","；","：","《","》"," ","“","”","—","（","）","·"},"")))</f>
        <v>17</v>
      </c>
      <c r="K170" s="23"/>
    </row>
    <row r="171" customFormat="false" ht="51" hidden="false" customHeight="true" outlineLevel="0" collapsed="false">
      <c r="A171" s="7" t="s">
        <v>107</v>
      </c>
      <c r="B171" s="15" t="n">
        <v>2</v>
      </c>
      <c r="C171" s="7" t="n">
        <v>19</v>
      </c>
      <c r="D171" s="22" t="s">
        <v>472</v>
      </c>
      <c r="E171" s="4" t="s">
        <v>506</v>
      </c>
      <c r="F171" s="23" t="s">
        <v>507</v>
      </c>
      <c r="G171" s="22" t="s">
        <v>30</v>
      </c>
      <c r="H171" s="3"/>
      <c r="I171" s="3"/>
      <c r="J171" s="7" t="n">
        <f aca="false">LEN(E171)-SUMPRODUCT(LEN(E171)-LEN(SUBSTITUTE(E171,{"，","。","？","！","、","…","；","：","《","》"," ","“","”","—","（","）","·"},"")))</f>
        <v>46</v>
      </c>
      <c r="K171" s="23"/>
    </row>
    <row r="172" customFormat="false" ht="36" hidden="false" customHeight="true" outlineLevel="0" collapsed="false">
      <c r="A172" s="7" t="s">
        <v>107</v>
      </c>
      <c r="B172" s="15" t="n">
        <v>2</v>
      </c>
      <c r="C172" s="7" t="n">
        <v>20</v>
      </c>
      <c r="D172" s="22" t="s">
        <v>222</v>
      </c>
      <c r="E172" s="4" t="s">
        <v>508</v>
      </c>
      <c r="F172" s="23" t="s">
        <v>509</v>
      </c>
      <c r="G172" s="22" t="s">
        <v>32</v>
      </c>
      <c r="H172" s="3"/>
      <c r="I172" s="3"/>
      <c r="J172" s="7" t="n">
        <f aca="false">LEN(E172)-SUMPRODUCT(LEN(E172)-LEN(SUBSTITUTE(E172,{"，","。","？","！","、","…","；","：","《","》"," ","“","”","—","（","）","·"},"")))</f>
        <v>13</v>
      </c>
      <c r="K172" s="23"/>
    </row>
    <row r="173" customFormat="false" ht="51" hidden="false" customHeight="true" outlineLevel="0" collapsed="false">
      <c r="A173" s="7" t="s">
        <v>107</v>
      </c>
      <c r="B173" s="15" t="n">
        <v>2</v>
      </c>
      <c r="C173" s="7" t="n">
        <v>21</v>
      </c>
      <c r="D173" s="22" t="s">
        <v>472</v>
      </c>
      <c r="E173" s="4" t="s">
        <v>510</v>
      </c>
      <c r="F173" s="23" t="s">
        <v>474</v>
      </c>
      <c r="G173" s="22" t="s">
        <v>32</v>
      </c>
      <c r="H173" s="3" t="s">
        <v>511</v>
      </c>
      <c r="I173" s="4" t="s">
        <v>512</v>
      </c>
      <c r="J173" s="7" t="n">
        <f aca="false">LEN(E173)-SUMPRODUCT(LEN(E173)-LEN(SUBSTITUTE(E173,{"，","。","？","！","、","…","；","：","《","》"," ","“","”","—","（","）","·"},"")))</f>
        <v>47</v>
      </c>
      <c r="K173" s="23"/>
    </row>
    <row r="174" customFormat="false" ht="36" hidden="false" customHeight="true" outlineLevel="0" collapsed="false">
      <c r="A174" s="7" t="s">
        <v>107</v>
      </c>
      <c r="B174" s="15" t="n">
        <v>2</v>
      </c>
      <c r="C174" s="7" t="n">
        <v>22</v>
      </c>
      <c r="D174" s="22" t="s">
        <v>232</v>
      </c>
      <c r="E174" s="4" t="s">
        <v>513</v>
      </c>
      <c r="F174" s="23" t="s">
        <v>514</v>
      </c>
      <c r="G174" s="22" t="s">
        <v>32</v>
      </c>
      <c r="H174" s="3" t="s">
        <v>511</v>
      </c>
      <c r="I174" s="3"/>
      <c r="J174" s="7" t="n">
        <f aca="false">LEN(E174)-SUMPRODUCT(LEN(E174)-LEN(SUBSTITUTE(E174,{"，","。","？","！","、","…","；","：","《","》"," ","“","”","—","（","）","·"},"")))</f>
        <v>11</v>
      </c>
      <c r="K174" s="23"/>
    </row>
    <row r="175" customFormat="false" ht="21" hidden="false" customHeight="true" outlineLevel="0" collapsed="false">
      <c r="A175" s="7" t="s">
        <v>107</v>
      </c>
      <c r="B175" s="15" t="n">
        <v>2</v>
      </c>
      <c r="C175" s="7" t="n">
        <v>23</v>
      </c>
      <c r="D175" s="22" t="s">
        <v>222</v>
      </c>
      <c r="E175" s="4" t="s">
        <v>515</v>
      </c>
      <c r="F175" s="23" t="s">
        <v>477</v>
      </c>
      <c r="G175" s="22" t="s">
        <v>32</v>
      </c>
      <c r="H175" s="3"/>
      <c r="I175" s="3"/>
      <c r="J175" s="7" t="n">
        <f aca="false">LEN(E175)-SUMPRODUCT(LEN(E175)-LEN(SUBSTITUTE(E175,{"，","。","？","！","、","…","；","：","《","》"," ","“","”","—","（","）","·"},"")))</f>
        <v>13</v>
      </c>
      <c r="K175" s="23"/>
    </row>
    <row r="176" customFormat="false" ht="36" hidden="false" customHeight="true" outlineLevel="0" collapsed="false">
      <c r="A176" s="7" t="s">
        <v>107</v>
      </c>
      <c r="B176" s="15" t="n">
        <v>2</v>
      </c>
      <c r="C176" s="7" t="n">
        <v>24</v>
      </c>
      <c r="D176" s="22" t="s">
        <v>481</v>
      </c>
      <c r="E176" s="4" t="s">
        <v>516</v>
      </c>
      <c r="F176" s="23" t="s">
        <v>517</v>
      </c>
      <c r="G176" s="22" t="s">
        <v>32</v>
      </c>
      <c r="H176" s="3" t="s">
        <v>518</v>
      </c>
      <c r="I176" s="4" t="s">
        <v>519</v>
      </c>
      <c r="J176" s="7" t="n">
        <f aca="false">LEN(E176)-SUMPRODUCT(LEN(E176)-LEN(SUBSTITUTE(E176,{"，","。","？","！","、","…","；","：","《","》"," ","“","”","—","（","）","·"},"")))</f>
        <v>28</v>
      </c>
      <c r="K176" s="23"/>
    </row>
    <row r="177" customFormat="false" ht="21" hidden="false" customHeight="true" outlineLevel="0" collapsed="false">
      <c r="A177" s="7" t="s">
        <v>107</v>
      </c>
      <c r="B177" s="15" t="n">
        <v>2</v>
      </c>
      <c r="C177" s="7" t="n">
        <v>25</v>
      </c>
      <c r="D177" s="22" t="s">
        <v>232</v>
      </c>
      <c r="E177" s="4" t="s">
        <v>520</v>
      </c>
      <c r="F177" s="23" t="s">
        <v>477</v>
      </c>
      <c r="G177" s="22" t="s">
        <v>32</v>
      </c>
      <c r="H177" s="3"/>
      <c r="I177" s="3"/>
      <c r="J177" s="7" t="n">
        <f aca="false">LEN(E177)-SUMPRODUCT(LEN(E177)-LEN(SUBSTITUTE(E177,{"，","。","？","！","、","…","；","：","《","》"," ","“","”","—","（","）","·"},"")))</f>
        <v>8</v>
      </c>
      <c r="K177" s="23"/>
    </row>
    <row r="178" customFormat="false" ht="36" hidden="false" customHeight="true" outlineLevel="0" collapsed="false">
      <c r="A178" s="7" t="s">
        <v>107</v>
      </c>
      <c r="B178" s="15" t="n">
        <v>2</v>
      </c>
      <c r="C178" s="7" t="n">
        <v>26</v>
      </c>
      <c r="D178" s="22" t="s">
        <v>481</v>
      </c>
      <c r="E178" s="4" t="s">
        <v>521</v>
      </c>
      <c r="F178" s="23" t="s">
        <v>477</v>
      </c>
      <c r="G178" s="22" t="s">
        <v>32</v>
      </c>
      <c r="H178" s="3" t="s">
        <v>522</v>
      </c>
      <c r="I178" s="3"/>
      <c r="J178" s="7" t="n">
        <f aca="false">LEN(E178)-SUMPRODUCT(LEN(E178)-LEN(SUBSTITUTE(E178,{"，","。","？","！","、","…","；","：","《","》"," ","“","”","—","（","）","·"},"")))</f>
        <v>32</v>
      </c>
      <c r="K178" s="23"/>
    </row>
    <row r="179" customFormat="false" ht="36" hidden="false" customHeight="true" outlineLevel="0" collapsed="false">
      <c r="A179" s="7" t="s">
        <v>107</v>
      </c>
      <c r="B179" s="15" t="n">
        <v>2</v>
      </c>
      <c r="C179" s="7" t="n">
        <v>27</v>
      </c>
      <c r="D179" s="22" t="s">
        <v>472</v>
      </c>
      <c r="E179" s="4" t="s">
        <v>523</v>
      </c>
      <c r="F179" s="23" t="s">
        <v>474</v>
      </c>
      <c r="G179" s="22" t="s">
        <v>32</v>
      </c>
      <c r="H179" s="3" t="s">
        <v>524</v>
      </c>
      <c r="I179" s="3"/>
      <c r="J179" s="7" t="n">
        <f aca="false">LEN(E179)-SUMPRODUCT(LEN(E179)-LEN(SUBSTITUTE(E179,{"，","。","？","！","、","…","；","：","《","》"," ","“","”","—","（","）","·"},"")))</f>
        <v>38</v>
      </c>
      <c r="K179" s="23"/>
    </row>
    <row r="180" customFormat="false" ht="36" hidden="false" customHeight="true" outlineLevel="0" collapsed="false">
      <c r="A180" s="7" t="s">
        <v>107</v>
      </c>
      <c r="B180" s="15" t="n">
        <v>2</v>
      </c>
      <c r="C180" s="7" t="n">
        <v>28</v>
      </c>
      <c r="D180" s="22" t="s">
        <v>222</v>
      </c>
      <c r="E180" s="4" t="s">
        <v>525</v>
      </c>
      <c r="F180" s="23" t="s">
        <v>494</v>
      </c>
      <c r="G180" s="22" t="s">
        <v>32</v>
      </c>
      <c r="H180" s="3" t="s">
        <v>526</v>
      </c>
      <c r="I180" s="3"/>
      <c r="J180" s="7" t="n">
        <f aca="false">LEN(E180)-SUMPRODUCT(LEN(E180)-LEN(SUBSTITUTE(E180,{"，","。","？","！","、","…","；","：","《","》"," ","“","”","—","（","）","·"},"")))</f>
        <v>9</v>
      </c>
      <c r="K180" s="23"/>
    </row>
    <row r="181" customFormat="false" ht="36" hidden="false" customHeight="true" outlineLevel="0" collapsed="false">
      <c r="A181" s="7" t="s">
        <v>107</v>
      </c>
      <c r="B181" s="15" t="n">
        <v>2</v>
      </c>
      <c r="C181" s="7" t="n">
        <v>29</v>
      </c>
      <c r="D181" s="22" t="s">
        <v>232</v>
      </c>
      <c r="E181" s="4" t="s">
        <v>527</v>
      </c>
      <c r="F181" s="23" t="s">
        <v>477</v>
      </c>
      <c r="G181" s="22" t="s">
        <v>30</v>
      </c>
      <c r="H181" s="3"/>
      <c r="I181" s="3"/>
      <c r="J181" s="7" t="n">
        <f aca="false">LEN(E181)-SUMPRODUCT(LEN(E181)-LEN(SUBSTITUTE(E181,{"，","。","？","！","、","…","；","：","《","》"," ","“","”","—","（","）","·"},"")))</f>
        <v>10</v>
      </c>
      <c r="K181" s="23"/>
    </row>
    <row r="182" customFormat="false" ht="21" hidden="false" customHeight="true" outlineLevel="0" collapsed="false">
      <c r="A182" s="7" t="s">
        <v>107</v>
      </c>
      <c r="B182" s="15" t="n">
        <v>2</v>
      </c>
      <c r="C182" s="7" t="n">
        <v>30</v>
      </c>
      <c r="D182" s="22" t="s">
        <v>481</v>
      </c>
      <c r="E182" s="4" t="s">
        <v>528</v>
      </c>
      <c r="F182" s="23" t="s">
        <v>477</v>
      </c>
      <c r="G182" s="22" t="s">
        <v>32</v>
      </c>
      <c r="H182" s="3" t="s">
        <v>529</v>
      </c>
      <c r="I182" s="3"/>
      <c r="J182" s="7" t="n">
        <f aca="false">LEN(E182)-SUMPRODUCT(LEN(E182)-LEN(SUBSTITUTE(E182,{"，","。","？","！","、","…","；","：","《","》"," ","“","”","—","（","）","·"},"")))</f>
        <v>21</v>
      </c>
      <c r="K182" s="23"/>
    </row>
    <row r="183" customFormat="false" ht="36" hidden="false" customHeight="true" outlineLevel="0" collapsed="false">
      <c r="A183" s="7" t="s">
        <v>107</v>
      </c>
      <c r="B183" s="15" t="n">
        <v>2</v>
      </c>
      <c r="C183" s="7" t="n">
        <v>31</v>
      </c>
      <c r="D183" s="22" t="s">
        <v>472</v>
      </c>
      <c r="E183" s="4" t="s">
        <v>530</v>
      </c>
      <c r="F183" s="23" t="s">
        <v>485</v>
      </c>
      <c r="G183" s="22" t="s">
        <v>30</v>
      </c>
      <c r="H183" s="3"/>
      <c r="I183" s="3"/>
      <c r="J183" s="7" t="n">
        <f aca="false">LEN(E183)-SUMPRODUCT(LEN(E183)-LEN(SUBSTITUTE(E183,{"，","。","？","！","、","…","；","：","《","》"," ","“","”","—","（","）","·"},"")))</f>
        <v>20</v>
      </c>
      <c r="K183" s="23"/>
    </row>
    <row r="184" customFormat="false" ht="36" hidden="false" customHeight="true" outlineLevel="0" collapsed="false">
      <c r="A184" s="7" t="s">
        <v>107</v>
      </c>
      <c r="B184" s="15" t="n">
        <v>2</v>
      </c>
      <c r="C184" s="7" t="n">
        <v>32</v>
      </c>
      <c r="D184" s="22" t="s">
        <v>232</v>
      </c>
      <c r="E184" s="4" t="s">
        <v>531</v>
      </c>
      <c r="F184" s="23" t="s">
        <v>509</v>
      </c>
      <c r="G184" s="22" t="s">
        <v>30</v>
      </c>
      <c r="H184" s="3"/>
      <c r="I184" s="3"/>
      <c r="J184" s="7" t="n">
        <f aca="false">LEN(E184)-SUMPRODUCT(LEN(E184)-LEN(SUBSTITUTE(E184,{"，","。","？","！","、","…","；","：","《","》"," ","“","”","—","（","）","·"},"")))</f>
        <v>21</v>
      </c>
      <c r="K184" s="23"/>
    </row>
    <row r="185" customFormat="false" ht="51" hidden="false" customHeight="true" outlineLevel="0" collapsed="false">
      <c r="A185" s="7" t="s">
        <v>107</v>
      </c>
      <c r="B185" s="15" t="n">
        <v>2</v>
      </c>
      <c r="C185" s="7" t="n">
        <v>33</v>
      </c>
      <c r="D185" s="22" t="s">
        <v>472</v>
      </c>
      <c r="E185" s="4" t="s">
        <v>532</v>
      </c>
      <c r="F185" s="23" t="s">
        <v>533</v>
      </c>
      <c r="G185" s="22" t="s">
        <v>30</v>
      </c>
      <c r="H185" s="3" t="s">
        <v>534</v>
      </c>
      <c r="I185" s="4" t="s">
        <v>535</v>
      </c>
      <c r="J185" s="7" t="n">
        <f aca="false">LEN(E185)-SUMPRODUCT(LEN(E185)-LEN(SUBSTITUTE(E185,{"，","。","？","！","、","…","；","：","《","》"," ","“","”","—","（","）","·"},"")))</f>
        <v>50</v>
      </c>
      <c r="K185" s="23"/>
    </row>
    <row r="186" customFormat="false" ht="36" hidden="false" customHeight="true" outlineLevel="0" collapsed="false">
      <c r="A186" s="7" t="s">
        <v>107</v>
      </c>
      <c r="B186" s="15" t="n">
        <v>2</v>
      </c>
      <c r="C186" s="7" t="n">
        <v>34</v>
      </c>
      <c r="D186" s="22" t="s">
        <v>222</v>
      </c>
      <c r="E186" s="4" t="s">
        <v>536</v>
      </c>
      <c r="F186" s="23" t="s">
        <v>477</v>
      </c>
      <c r="G186" s="22" t="s">
        <v>30</v>
      </c>
      <c r="H186" s="3"/>
      <c r="I186" s="4" t="s">
        <v>535</v>
      </c>
      <c r="J186" s="7" t="n">
        <f aca="false">LEN(E186)-SUMPRODUCT(LEN(E186)-LEN(SUBSTITUTE(E186,{"，","。","？","！","、","…","；","：","《","》"," ","“","”","—","（","）","·"},"")))</f>
        <v>13</v>
      </c>
      <c r="K186" s="23"/>
    </row>
    <row r="187" customFormat="false" ht="21" hidden="false" customHeight="true" outlineLevel="0" collapsed="false">
      <c r="A187" s="7" t="s">
        <v>107</v>
      </c>
      <c r="B187" s="15" t="n">
        <v>2</v>
      </c>
      <c r="C187" s="7" t="n">
        <v>35</v>
      </c>
      <c r="D187" s="22" t="s">
        <v>481</v>
      </c>
      <c r="E187" s="4" t="s">
        <v>537</v>
      </c>
      <c r="F187" s="23" t="s">
        <v>477</v>
      </c>
      <c r="G187" s="22" t="s">
        <v>42</v>
      </c>
      <c r="H187" s="3" t="s">
        <v>538</v>
      </c>
      <c r="I187" s="4" t="s">
        <v>539</v>
      </c>
      <c r="J187" s="7" t="n">
        <f aca="false">LEN(E187)-SUMPRODUCT(LEN(E187)-LEN(SUBSTITUTE(E187,{"，","。","？","！","、","…","；","：","《","》"," ","“","”","—","（","）","·"},"")))</f>
        <v>21</v>
      </c>
      <c r="K187" s="23"/>
    </row>
    <row r="188" customFormat="false" ht="21" hidden="false" customHeight="true" outlineLevel="0" collapsed="false">
      <c r="A188" s="7" t="s">
        <v>107</v>
      </c>
      <c r="B188" s="15" t="n">
        <v>2</v>
      </c>
      <c r="C188" s="7" t="n">
        <v>36</v>
      </c>
      <c r="D188" s="22" t="s">
        <v>232</v>
      </c>
      <c r="E188" s="4" t="s">
        <v>540</v>
      </c>
      <c r="F188" s="23" t="s">
        <v>477</v>
      </c>
      <c r="G188" s="22" t="s">
        <v>42</v>
      </c>
      <c r="H188" s="3"/>
      <c r="I188" s="3"/>
      <c r="J188" s="7" t="n">
        <f aca="false">LEN(E188)-SUMPRODUCT(LEN(E188)-LEN(SUBSTITUTE(E188,{"，","。","？","！","、","…","；","：","《","》"," ","“","”","—","（","）","·"},"")))</f>
        <v>9</v>
      </c>
      <c r="K188" s="23"/>
    </row>
    <row r="189" customFormat="false" ht="36" hidden="false" customHeight="true" outlineLevel="0" collapsed="false">
      <c r="A189" s="7" t="s">
        <v>107</v>
      </c>
      <c r="B189" s="15" t="n">
        <v>2</v>
      </c>
      <c r="C189" s="7" t="n">
        <v>37</v>
      </c>
      <c r="D189" s="22" t="s">
        <v>222</v>
      </c>
      <c r="E189" s="4" t="s">
        <v>541</v>
      </c>
      <c r="F189" s="23" t="s">
        <v>542</v>
      </c>
      <c r="G189" s="22" t="s">
        <v>30</v>
      </c>
      <c r="H189" s="3" t="s">
        <v>543</v>
      </c>
      <c r="I189" s="3"/>
      <c r="J189" s="7" t="n">
        <f aca="false">LEN(E189)-SUMPRODUCT(LEN(E189)-LEN(SUBSTITUTE(E189,{"，","。","？","！","、","…","；","：","《","》"," ","“","”","—","（","）","·"},"")))</f>
        <v>27</v>
      </c>
      <c r="K189" s="23"/>
    </row>
    <row r="190" customFormat="false" ht="36" hidden="false" customHeight="true" outlineLevel="0" collapsed="false">
      <c r="A190" s="7" t="s">
        <v>107</v>
      </c>
      <c r="B190" s="15" t="n">
        <v>2</v>
      </c>
      <c r="C190" s="7" t="n">
        <v>38</v>
      </c>
      <c r="D190" s="22" t="s">
        <v>472</v>
      </c>
      <c r="E190" s="4" t="s">
        <v>544</v>
      </c>
      <c r="F190" s="23" t="s">
        <v>474</v>
      </c>
      <c r="G190" s="22" t="s">
        <v>30</v>
      </c>
      <c r="H190" s="3" t="s">
        <v>401</v>
      </c>
      <c r="I190" s="3"/>
      <c r="J190" s="7" t="n">
        <f aca="false">LEN(E190)-SUMPRODUCT(LEN(E190)-LEN(SUBSTITUTE(E190,{"，","。","？","！","、","…","；","：","《","》"," ","“","”","—","（","）","·"},"")))</f>
        <v>36</v>
      </c>
      <c r="K190" s="23"/>
    </row>
    <row r="191" customFormat="false" ht="36" hidden="false" customHeight="true" outlineLevel="0" collapsed="false">
      <c r="A191" s="7" t="s">
        <v>107</v>
      </c>
      <c r="B191" s="15" t="n">
        <v>2</v>
      </c>
      <c r="C191" s="7" t="n">
        <v>39</v>
      </c>
      <c r="D191" s="22" t="s">
        <v>481</v>
      </c>
      <c r="E191" s="4" t="s">
        <v>545</v>
      </c>
      <c r="F191" s="23" t="s">
        <v>477</v>
      </c>
      <c r="G191" s="22" t="s">
        <v>30</v>
      </c>
      <c r="H191" s="3"/>
      <c r="I191" s="3"/>
      <c r="J191" s="7" t="n">
        <f aca="false">LEN(E191)-SUMPRODUCT(LEN(E191)-LEN(SUBSTITUTE(E191,{"，","。","？","！","、","…","；","：","《","》"," ","“","”","—","（","）","·"},"")))</f>
        <v>10</v>
      </c>
      <c r="K191" s="23"/>
    </row>
    <row r="192" customFormat="false" ht="36" hidden="false" customHeight="true" outlineLevel="0" collapsed="false">
      <c r="A192" s="7" t="s">
        <v>107</v>
      </c>
      <c r="B192" s="15" t="n">
        <v>2</v>
      </c>
      <c r="C192" s="7" t="n">
        <v>40</v>
      </c>
      <c r="D192" s="22" t="s">
        <v>232</v>
      </c>
      <c r="E192" s="4" t="s">
        <v>546</v>
      </c>
      <c r="F192" s="23" t="s">
        <v>547</v>
      </c>
      <c r="G192" s="22" t="s">
        <v>30</v>
      </c>
      <c r="H192" s="3"/>
      <c r="I192" s="3"/>
      <c r="J192" s="7" t="n">
        <f aca="false">LEN(E192)-SUMPRODUCT(LEN(E192)-LEN(SUBSTITUTE(E192,{"，","。","？","！","、","…","；","：","《","》"," ","“","”","—","（","）","·"},"")))</f>
        <v>30</v>
      </c>
      <c r="K192" s="23"/>
    </row>
    <row r="193" customFormat="false" ht="36" hidden="false" customHeight="true" outlineLevel="0" collapsed="false">
      <c r="A193" s="7" t="s">
        <v>107</v>
      </c>
      <c r="B193" s="15" t="n">
        <v>2</v>
      </c>
      <c r="C193" s="7" t="n">
        <v>41</v>
      </c>
      <c r="D193" s="22" t="s">
        <v>472</v>
      </c>
      <c r="E193" s="4" t="s">
        <v>548</v>
      </c>
      <c r="F193" s="23" t="s">
        <v>485</v>
      </c>
      <c r="G193" s="22" t="s">
        <v>30</v>
      </c>
      <c r="H193" s="3"/>
      <c r="I193" s="3"/>
      <c r="J193" s="7" t="n">
        <f aca="false">LEN(E193)-SUMPRODUCT(LEN(E193)-LEN(SUBSTITUTE(E193,{"，","。","？","！","、","…","；","：","《","》"," ","“","”","—","（","）","·"},"")))</f>
        <v>23</v>
      </c>
      <c r="K193" s="23"/>
    </row>
    <row r="194" customFormat="false" ht="21" hidden="false" customHeight="true" outlineLevel="0" collapsed="false">
      <c r="A194" s="7" t="s">
        <v>107</v>
      </c>
      <c r="B194" s="15" t="n">
        <v>2</v>
      </c>
      <c r="C194" s="7" t="n">
        <v>42</v>
      </c>
      <c r="D194" s="22" t="s">
        <v>222</v>
      </c>
      <c r="E194" s="4" t="s">
        <v>549</v>
      </c>
      <c r="F194" s="23" t="s">
        <v>550</v>
      </c>
      <c r="G194" s="22" t="s">
        <v>42</v>
      </c>
      <c r="H194" s="3"/>
      <c r="I194" s="3"/>
      <c r="J194" s="7" t="n">
        <f aca="false">LEN(E194)-SUMPRODUCT(LEN(E194)-LEN(SUBSTITUTE(E194,{"，","。","？","！","、","…","；","：","《","》"," ","“","”","—","（","）","·"},"")))</f>
        <v>8</v>
      </c>
      <c r="K194" s="23"/>
    </row>
    <row r="195" customFormat="false" ht="36" hidden="false" customHeight="true" outlineLevel="0" collapsed="false">
      <c r="A195" s="7" t="s">
        <v>107</v>
      </c>
      <c r="B195" s="15" t="n">
        <v>2</v>
      </c>
      <c r="C195" s="7" t="n">
        <v>43</v>
      </c>
      <c r="D195" s="22" t="s">
        <v>472</v>
      </c>
      <c r="E195" s="4" t="s">
        <v>551</v>
      </c>
      <c r="F195" s="23" t="s">
        <v>507</v>
      </c>
      <c r="G195" s="22" t="s">
        <v>42</v>
      </c>
      <c r="H195" s="3"/>
      <c r="I195" s="3"/>
      <c r="J195" s="7" t="n">
        <f aca="false">LEN(E195)-SUMPRODUCT(LEN(E195)-LEN(SUBSTITUTE(E195,{"，","。","？","！","、","…","；","：","《","》"," ","“","”","—","（","）","·"},"")))</f>
        <v>17</v>
      </c>
      <c r="K195" s="23"/>
    </row>
    <row r="196" customFormat="false" ht="36" hidden="false" customHeight="true" outlineLevel="0" collapsed="false">
      <c r="A196" s="7" t="s">
        <v>107</v>
      </c>
      <c r="B196" s="15" t="n">
        <v>2</v>
      </c>
      <c r="C196" s="7" t="n">
        <v>44</v>
      </c>
      <c r="D196" s="22" t="s">
        <v>232</v>
      </c>
      <c r="E196" s="4" t="s">
        <v>552</v>
      </c>
      <c r="F196" s="23" t="s">
        <v>553</v>
      </c>
      <c r="G196" s="22" t="s">
        <v>30</v>
      </c>
      <c r="H196" s="3"/>
      <c r="I196" s="3"/>
      <c r="J196" s="7" t="n">
        <f aca="false">LEN(E196)-SUMPRODUCT(LEN(E196)-LEN(SUBSTITUTE(E196,{"，","。","？","！","、","…","；","：","《","》"," ","“","”","—","（","）","·"},"")))</f>
        <v>13</v>
      </c>
      <c r="K196" s="23"/>
    </row>
    <row r="197" customFormat="false" ht="36" hidden="false" customHeight="true" outlineLevel="0" collapsed="false">
      <c r="A197" s="7" t="s">
        <v>107</v>
      </c>
      <c r="B197" s="15" t="n">
        <v>2</v>
      </c>
      <c r="C197" s="7" t="n">
        <v>45</v>
      </c>
      <c r="D197" s="22" t="s">
        <v>481</v>
      </c>
      <c r="E197" s="4" t="s">
        <v>554</v>
      </c>
      <c r="F197" s="23" t="s">
        <v>550</v>
      </c>
      <c r="G197" s="22" t="s">
        <v>32</v>
      </c>
      <c r="H197" s="3" t="s">
        <v>555</v>
      </c>
      <c r="I197" s="3"/>
      <c r="J197" s="7" t="n">
        <f aca="false">LEN(E197)-SUMPRODUCT(LEN(E197)-LEN(SUBSTITUTE(E197,{"，","。","？","！","、","…","；","：","《","》"," ","“","”","—","（","）","·"},"")))</f>
        <v>25</v>
      </c>
      <c r="K197" s="23"/>
    </row>
    <row r="198" customFormat="false" ht="21" hidden="false" customHeight="true" outlineLevel="0" collapsed="false">
      <c r="A198" s="7" t="s">
        <v>107</v>
      </c>
      <c r="B198" s="15" t="n">
        <v>2</v>
      </c>
      <c r="C198" s="7" t="n">
        <v>46</v>
      </c>
      <c r="D198" s="22" t="s">
        <v>222</v>
      </c>
      <c r="E198" s="4" t="s">
        <v>556</v>
      </c>
      <c r="F198" s="23" t="s">
        <v>550</v>
      </c>
      <c r="G198" s="22" t="s">
        <v>42</v>
      </c>
      <c r="H198" s="3"/>
      <c r="I198" s="4" t="s">
        <v>539</v>
      </c>
      <c r="J198" s="7" t="n">
        <f aca="false">LEN(E198)-SUMPRODUCT(LEN(E198)-LEN(SUBSTITUTE(E198,{"，","。","？","！","、","…","；","：","《","》"," ","“","”","—","（","）","·"},"")))</f>
        <v>15</v>
      </c>
      <c r="K198" s="23"/>
    </row>
    <row r="199" customFormat="false" ht="51" hidden="false" customHeight="true" outlineLevel="0" collapsed="false">
      <c r="A199" s="7" t="s">
        <v>113</v>
      </c>
      <c r="B199" s="15" t="n">
        <v>2</v>
      </c>
      <c r="C199" s="7" t="n">
        <v>1</v>
      </c>
      <c r="D199" s="22" t="s">
        <v>472</v>
      </c>
      <c r="E199" s="4" t="s">
        <v>557</v>
      </c>
      <c r="F199" s="23" t="s">
        <v>558</v>
      </c>
      <c r="G199" s="22" t="s">
        <v>30</v>
      </c>
      <c r="H199" s="3"/>
      <c r="I199" s="4" t="s">
        <v>559</v>
      </c>
      <c r="J199" s="7" t="n">
        <f aca="false">LEN(E199)-SUMPRODUCT(LEN(E199)-LEN(SUBSTITUTE(E199,{"，","。","？","！","、","…","；","：","《","》"," ","“","”","—","（","）","·"},"")))</f>
        <v>50</v>
      </c>
      <c r="K199" s="23"/>
    </row>
    <row r="200" customFormat="false" ht="36" hidden="false" customHeight="true" outlineLevel="0" collapsed="false">
      <c r="A200" s="7" t="s">
        <v>113</v>
      </c>
      <c r="B200" s="15" t="n">
        <v>2</v>
      </c>
      <c r="C200" s="7" t="n">
        <v>2</v>
      </c>
      <c r="D200" s="22" t="s">
        <v>222</v>
      </c>
      <c r="E200" s="4" t="s">
        <v>560</v>
      </c>
      <c r="F200" s="23" t="s">
        <v>477</v>
      </c>
      <c r="G200" s="22" t="s">
        <v>30</v>
      </c>
      <c r="H200" s="3"/>
      <c r="I200" s="4" t="s">
        <v>561</v>
      </c>
      <c r="J200" s="7" t="n">
        <f aca="false">LEN(E200)-SUMPRODUCT(LEN(E200)-LEN(SUBSTITUTE(E200,{"，","。","？","！","、","…","；","：","《","》"," ","“","”","—","（","）","·"},"")))</f>
        <v>9</v>
      </c>
      <c r="K200" s="23"/>
    </row>
    <row r="201" customFormat="false" ht="36" hidden="false" customHeight="true" outlineLevel="0" collapsed="false">
      <c r="A201" s="7" t="s">
        <v>113</v>
      </c>
      <c r="B201" s="15" t="n">
        <v>2</v>
      </c>
      <c r="C201" s="7" t="n">
        <v>3</v>
      </c>
      <c r="D201" s="22" t="s">
        <v>232</v>
      </c>
      <c r="E201" s="4" t="s">
        <v>562</v>
      </c>
      <c r="F201" s="23" t="s">
        <v>494</v>
      </c>
      <c r="G201" s="22" t="s">
        <v>30</v>
      </c>
      <c r="H201" s="3"/>
      <c r="I201" s="3"/>
      <c r="J201" s="7" t="n">
        <f aca="false">LEN(E201)-SUMPRODUCT(LEN(E201)-LEN(SUBSTITUTE(E201,{"，","。","？","！","、","…","；","：","《","》"," ","“","”","—","（","）","·"},"")))</f>
        <v>13</v>
      </c>
      <c r="K201" s="23"/>
    </row>
    <row r="202" customFormat="false" ht="51" hidden="false" customHeight="true" outlineLevel="0" collapsed="false">
      <c r="A202" s="7" t="s">
        <v>113</v>
      </c>
      <c r="B202" s="15" t="n">
        <v>2</v>
      </c>
      <c r="C202" s="7" t="n">
        <v>4</v>
      </c>
      <c r="D202" s="22" t="s">
        <v>472</v>
      </c>
      <c r="E202" s="4" t="s">
        <v>563</v>
      </c>
      <c r="F202" s="23" t="s">
        <v>474</v>
      </c>
      <c r="G202" s="22" t="s">
        <v>30</v>
      </c>
      <c r="H202" s="3"/>
      <c r="I202" s="4" t="s">
        <v>564</v>
      </c>
      <c r="J202" s="7" t="n">
        <f aca="false">LEN(E202)-SUMPRODUCT(LEN(E202)-LEN(SUBSTITUTE(E202,{"，","。","？","！","、","…","；","：","《","》"," ","“","”","—","（","）","·"},"")))</f>
        <v>54</v>
      </c>
      <c r="K202" s="23"/>
    </row>
    <row r="203" customFormat="false" ht="36" hidden="false" customHeight="true" outlineLevel="0" collapsed="false">
      <c r="A203" s="7" t="s">
        <v>113</v>
      </c>
      <c r="B203" s="15" t="n">
        <v>2</v>
      </c>
      <c r="C203" s="7" t="n">
        <v>5</v>
      </c>
      <c r="D203" s="22" t="s">
        <v>232</v>
      </c>
      <c r="E203" s="4" t="s">
        <v>565</v>
      </c>
      <c r="F203" s="23" t="s">
        <v>477</v>
      </c>
      <c r="G203" s="22" t="s">
        <v>30</v>
      </c>
      <c r="H203" s="3"/>
      <c r="I203" s="3"/>
      <c r="J203" s="7" t="n">
        <f aca="false">LEN(E203)-SUMPRODUCT(LEN(E203)-LEN(SUBSTITUTE(E203,{"，","。","？","！","、","…","；","：","《","》"," ","“","”","—","（","）","·"},"")))</f>
        <v>8</v>
      </c>
      <c r="K203" s="23"/>
    </row>
    <row r="204" customFormat="false" ht="51" hidden="false" customHeight="true" outlineLevel="0" collapsed="false">
      <c r="A204" s="7" t="s">
        <v>113</v>
      </c>
      <c r="B204" s="15" t="n">
        <v>2</v>
      </c>
      <c r="C204" s="7" t="n">
        <v>6</v>
      </c>
      <c r="D204" s="22" t="s">
        <v>472</v>
      </c>
      <c r="E204" s="4" t="s">
        <v>566</v>
      </c>
      <c r="F204" s="23" t="s">
        <v>567</v>
      </c>
      <c r="G204" s="22" t="s">
        <v>30</v>
      </c>
      <c r="H204" s="3" t="s">
        <v>568</v>
      </c>
      <c r="I204" s="4" t="s">
        <v>569</v>
      </c>
      <c r="J204" s="7" t="n">
        <f aca="false">LEN(E204)-SUMPRODUCT(LEN(E204)-LEN(SUBSTITUTE(E204,{"，","。","？","！","、","…","；","：","《","》"," ","“","”","—","（","）","·"},"")))</f>
        <v>44</v>
      </c>
      <c r="K204" s="23"/>
    </row>
    <row r="205" customFormat="false" ht="36" hidden="false" customHeight="true" outlineLevel="0" collapsed="false">
      <c r="A205" s="7" t="s">
        <v>113</v>
      </c>
      <c r="B205" s="15" t="n">
        <v>2</v>
      </c>
      <c r="C205" s="7" t="n">
        <v>7</v>
      </c>
      <c r="D205" s="22" t="s">
        <v>222</v>
      </c>
      <c r="E205" s="4" t="s">
        <v>570</v>
      </c>
      <c r="F205" s="23" t="s">
        <v>477</v>
      </c>
      <c r="G205" s="22" t="s">
        <v>30</v>
      </c>
      <c r="H205" s="3" t="s">
        <v>571</v>
      </c>
      <c r="I205" s="3"/>
      <c r="J205" s="7" t="n">
        <f aca="false">LEN(E205)-SUMPRODUCT(LEN(E205)-LEN(SUBSTITUTE(E205,{"，","。","？","！","、","…","；","：","《","》"," ","“","”","—","（","）","·"},"")))</f>
        <v>14</v>
      </c>
      <c r="K205" s="23"/>
    </row>
    <row r="206" customFormat="false" ht="36" hidden="false" customHeight="true" outlineLevel="0" collapsed="false">
      <c r="A206" s="7" t="s">
        <v>113</v>
      </c>
      <c r="B206" s="15" t="n">
        <v>2</v>
      </c>
      <c r="C206" s="7" t="n">
        <v>8</v>
      </c>
      <c r="D206" s="22" t="s">
        <v>232</v>
      </c>
      <c r="E206" s="4" t="s">
        <v>572</v>
      </c>
      <c r="F206" s="23" t="s">
        <v>477</v>
      </c>
      <c r="G206" s="22" t="s">
        <v>30</v>
      </c>
      <c r="H206" s="3"/>
      <c r="I206" s="3"/>
      <c r="J206" s="7" t="n">
        <f aca="false">LEN(E206)-SUMPRODUCT(LEN(E206)-LEN(SUBSTITUTE(E206,{"，","。","？","！","、","…","；","：","《","》"," ","“","”","—","（","）","·"},"")))</f>
        <v>12</v>
      </c>
      <c r="K206" s="23"/>
    </row>
    <row r="207" customFormat="false" ht="51" hidden="false" customHeight="true" outlineLevel="0" collapsed="false">
      <c r="A207" s="7" t="s">
        <v>113</v>
      </c>
      <c r="B207" s="15" t="n">
        <v>2</v>
      </c>
      <c r="C207" s="7" t="n">
        <v>9</v>
      </c>
      <c r="D207" s="22" t="s">
        <v>472</v>
      </c>
      <c r="E207" s="4" t="s">
        <v>573</v>
      </c>
      <c r="F207" s="23" t="s">
        <v>474</v>
      </c>
      <c r="G207" s="22" t="s">
        <v>32</v>
      </c>
      <c r="H207" s="3" t="s">
        <v>574</v>
      </c>
      <c r="I207" s="4" t="s">
        <v>575</v>
      </c>
      <c r="J207" s="7" t="n">
        <f aca="false">LEN(E207)-SUMPRODUCT(LEN(E207)-LEN(SUBSTITUTE(E207,{"，","。","？","！","、","…","；","：","《","》"," ","“","”","—","（","）","·"},"")))</f>
        <v>54</v>
      </c>
      <c r="K207" s="23"/>
    </row>
    <row r="208" customFormat="false" ht="36" hidden="false" customHeight="true" outlineLevel="0" collapsed="false">
      <c r="A208" s="7" t="s">
        <v>113</v>
      </c>
      <c r="B208" s="15" t="n">
        <v>2</v>
      </c>
      <c r="C208" s="7" t="n">
        <v>10</v>
      </c>
      <c r="D208" s="22" t="s">
        <v>232</v>
      </c>
      <c r="E208" s="4" t="s">
        <v>576</v>
      </c>
      <c r="F208" s="23" t="s">
        <v>577</v>
      </c>
      <c r="G208" s="22" t="s">
        <v>32</v>
      </c>
      <c r="H208" s="3" t="s">
        <v>578</v>
      </c>
      <c r="I208" s="3"/>
      <c r="J208" s="7" t="n">
        <f aca="false">LEN(E208)-SUMPRODUCT(LEN(E208)-LEN(SUBSTITUTE(E208,{"，","。","？","！","、","…","；","：","《","》"," ","“","”","—","（","）","·"},"")))</f>
        <v>7</v>
      </c>
      <c r="K208" s="23"/>
    </row>
    <row r="209" customFormat="false" ht="36" hidden="false" customHeight="true" outlineLevel="0" collapsed="false">
      <c r="A209" s="7" t="s">
        <v>113</v>
      </c>
      <c r="B209" s="15" t="n">
        <v>2</v>
      </c>
      <c r="C209" s="7" t="n">
        <v>11</v>
      </c>
      <c r="D209" s="22" t="s">
        <v>222</v>
      </c>
      <c r="E209" s="4" t="s">
        <v>579</v>
      </c>
      <c r="F209" s="23" t="s">
        <v>509</v>
      </c>
      <c r="G209" s="22" t="s">
        <v>32</v>
      </c>
      <c r="H209" s="3" t="s">
        <v>580</v>
      </c>
      <c r="I209" s="3"/>
      <c r="J209" s="7" t="n">
        <f aca="false">LEN(E209)-SUMPRODUCT(LEN(E209)-LEN(SUBSTITUTE(E209,{"，","。","？","！","、","…","；","：","《","》"," ","“","”","—","（","）","·"},"")))</f>
        <v>13</v>
      </c>
      <c r="K209" s="23"/>
    </row>
    <row r="210" customFormat="false" ht="36" hidden="false" customHeight="true" outlineLevel="0" collapsed="false">
      <c r="A210" s="7" t="s">
        <v>113</v>
      </c>
      <c r="B210" s="15" t="n">
        <v>2</v>
      </c>
      <c r="C210" s="7" t="n">
        <v>12</v>
      </c>
      <c r="D210" s="22" t="s">
        <v>472</v>
      </c>
      <c r="E210" s="4" t="s">
        <v>581</v>
      </c>
      <c r="F210" s="23" t="s">
        <v>474</v>
      </c>
      <c r="G210" s="22" t="s">
        <v>30</v>
      </c>
      <c r="H210" s="3" t="s">
        <v>580</v>
      </c>
      <c r="I210" s="4" t="s">
        <v>582</v>
      </c>
      <c r="J210" s="7" t="n">
        <f aca="false">LEN(E210)-SUMPRODUCT(LEN(E210)-LEN(SUBSTITUTE(E210,{"，","。","？","！","、","…","；","：","《","》"," ","“","”","—","（","）","·"},"")))</f>
        <v>35</v>
      </c>
      <c r="K210" s="23"/>
    </row>
    <row r="211" customFormat="false" ht="36" hidden="false" customHeight="true" outlineLevel="0" collapsed="false">
      <c r="A211" s="7" t="s">
        <v>113</v>
      </c>
      <c r="B211" s="15" t="n">
        <v>2</v>
      </c>
      <c r="C211" s="7" t="n">
        <v>13</v>
      </c>
      <c r="D211" s="22" t="s">
        <v>219</v>
      </c>
      <c r="E211" s="4" t="s">
        <v>583</v>
      </c>
      <c r="F211" s="23" t="s">
        <v>584</v>
      </c>
      <c r="G211" s="22" t="s">
        <v>30</v>
      </c>
      <c r="H211" s="3"/>
      <c r="I211" s="4" t="s">
        <v>585</v>
      </c>
      <c r="J211" s="7" t="n">
        <f aca="false">LEN(E211)-SUMPRODUCT(LEN(E211)-LEN(SUBSTITUTE(E211,{"，","。","？","！","、","…","；","：","《","》"," ","“","”","—","（","）","·"},"")))</f>
        <v>35</v>
      </c>
      <c r="K211" s="23"/>
    </row>
    <row r="212" customFormat="false" ht="21" hidden="false" customHeight="true" outlineLevel="0" collapsed="false">
      <c r="A212" s="7" t="s">
        <v>113</v>
      </c>
      <c r="B212" s="15" t="n">
        <v>2</v>
      </c>
      <c r="C212" s="7" t="n">
        <v>14</v>
      </c>
      <c r="D212" s="22" t="s">
        <v>232</v>
      </c>
      <c r="E212" s="4" t="s">
        <v>586</v>
      </c>
      <c r="F212" s="23" t="s">
        <v>477</v>
      </c>
      <c r="G212" s="22" t="s">
        <v>42</v>
      </c>
      <c r="H212" s="3"/>
      <c r="I212" s="4" t="s">
        <v>539</v>
      </c>
      <c r="J212" s="7" t="n">
        <f aca="false">LEN(E212)-SUMPRODUCT(LEN(E212)-LEN(SUBSTITUTE(E212,{"，","。","？","！","、","…","；","：","《","》"," ","“","”","—","（","）","·"},"")))</f>
        <v>10</v>
      </c>
      <c r="K212" s="23"/>
    </row>
    <row r="213" customFormat="false" ht="21" hidden="false" customHeight="true" outlineLevel="0" collapsed="false">
      <c r="A213" s="7" t="s">
        <v>113</v>
      </c>
      <c r="B213" s="15" t="n">
        <v>2</v>
      </c>
      <c r="C213" s="7" t="n">
        <v>15</v>
      </c>
      <c r="D213" s="22" t="s">
        <v>222</v>
      </c>
      <c r="E213" s="4" t="s">
        <v>587</v>
      </c>
      <c r="F213" s="23" t="s">
        <v>477</v>
      </c>
      <c r="G213" s="22" t="s">
        <v>42</v>
      </c>
      <c r="H213" s="3"/>
      <c r="I213" s="3"/>
      <c r="J213" s="7" t="n">
        <f aca="false">LEN(E213)-SUMPRODUCT(LEN(E213)-LEN(SUBSTITUTE(E213,{"，","。","？","！","、","…","；","：","《","》"," ","“","”","—","（","）","·"},"")))</f>
        <v>7</v>
      </c>
      <c r="K213" s="23"/>
    </row>
    <row r="214" customFormat="false" ht="36" hidden="false" customHeight="true" outlineLevel="0" collapsed="false">
      <c r="A214" s="7" t="s">
        <v>113</v>
      </c>
      <c r="B214" s="15" t="n">
        <v>2</v>
      </c>
      <c r="C214" s="7" t="n">
        <v>16</v>
      </c>
      <c r="D214" s="22" t="s">
        <v>472</v>
      </c>
      <c r="E214" s="4" t="s">
        <v>588</v>
      </c>
      <c r="F214" s="23" t="s">
        <v>589</v>
      </c>
      <c r="G214" s="22" t="s">
        <v>30</v>
      </c>
      <c r="H214" s="3"/>
      <c r="I214" s="4" t="s">
        <v>582</v>
      </c>
      <c r="J214" s="7" t="n">
        <f aca="false">LEN(E214)-SUMPRODUCT(LEN(E214)-LEN(SUBSTITUTE(E214,{"，","。","？","！","、","…","；","：","《","》"," ","“","”","—","（","）","·"},"")))</f>
        <v>41</v>
      </c>
      <c r="K214" s="23"/>
    </row>
    <row r="215" customFormat="false" ht="36" hidden="false" customHeight="true" outlineLevel="0" collapsed="false">
      <c r="A215" s="7" t="s">
        <v>113</v>
      </c>
      <c r="B215" s="15" t="n">
        <v>2</v>
      </c>
      <c r="C215" s="7" t="n">
        <v>17</v>
      </c>
      <c r="D215" s="22" t="s">
        <v>222</v>
      </c>
      <c r="E215" s="4" t="s">
        <v>590</v>
      </c>
      <c r="F215" s="23" t="s">
        <v>591</v>
      </c>
      <c r="G215" s="22" t="s">
        <v>30</v>
      </c>
      <c r="H215" s="3"/>
      <c r="I215" s="3"/>
      <c r="J215" s="7" t="n">
        <f aca="false">LEN(E215)-SUMPRODUCT(LEN(E215)-LEN(SUBSTITUTE(E215,{"，","。","？","！","、","…","；","：","《","》"," ","“","”","—","（","）","·"},"")))</f>
        <v>6</v>
      </c>
      <c r="K215" s="23"/>
    </row>
    <row r="216" customFormat="false" ht="21" hidden="false" customHeight="true" outlineLevel="0" collapsed="false">
      <c r="A216" s="7" t="s">
        <v>113</v>
      </c>
      <c r="B216" s="15" t="n">
        <v>2</v>
      </c>
      <c r="C216" s="7" t="n">
        <v>18</v>
      </c>
      <c r="D216" s="22" t="s">
        <v>232</v>
      </c>
      <c r="E216" s="4" t="s">
        <v>592</v>
      </c>
      <c r="F216" s="23" t="s">
        <v>477</v>
      </c>
      <c r="G216" s="22" t="s">
        <v>32</v>
      </c>
      <c r="H216" s="3" t="s">
        <v>593</v>
      </c>
      <c r="I216" s="3"/>
      <c r="J216" s="7" t="n">
        <f aca="false">LEN(E216)-SUMPRODUCT(LEN(E216)-LEN(SUBSTITUTE(E216,{"，","。","？","！","、","…","；","：","《","》"," ","“","”","—","（","）","·"},"")))</f>
        <v>10</v>
      </c>
      <c r="K216" s="23"/>
    </row>
    <row r="217" customFormat="false" ht="36" hidden="false" customHeight="true" outlineLevel="0" collapsed="false">
      <c r="A217" s="7" t="s">
        <v>113</v>
      </c>
      <c r="B217" s="15" t="n">
        <v>2</v>
      </c>
      <c r="C217" s="7" t="n">
        <v>19</v>
      </c>
      <c r="D217" s="22" t="s">
        <v>472</v>
      </c>
      <c r="E217" s="4" t="s">
        <v>594</v>
      </c>
      <c r="F217" s="23" t="s">
        <v>474</v>
      </c>
      <c r="G217" s="22" t="s">
        <v>32</v>
      </c>
      <c r="H217" s="3" t="s">
        <v>595</v>
      </c>
      <c r="I217" s="3"/>
      <c r="J217" s="7" t="n">
        <f aca="false">LEN(E217)-SUMPRODUCT(LEN(E217)-LEN(SUBSTITUTE(E217,{"，","。","？","！","、","…","；","：","《","》"," ","“","”","—","（","）","·"},"")))</f>
        <v>43</v>
      </c>
      <c r="K217" s="23"/>
    </row>
    <row r="218" customFormat="false" ht="36" hidden="false" customHeight="true" outlineLevel="0" collapsed="false">
      <c r="A218" s="7" t="s">
        <v>113</v>
      </c>
      <c r="B218" s="15" t="n">
        <v>2</v>
      </c>
      <c r="C218" s="7" t="n">
        <v>20</v>
      </c>
      <c r="D218" s="22" t="s">
        <v>232</v>
      </c>
      <c r="E218" s="4" t="s">
        <v>596</v>
      </c>
      <c r="F218" s="23" t="s">
        <v>494</v>
      </c>
      <c r="G218" s="22" t="s">
        <v>32</v>
      </c>
      <c r="H218" s="3" t="s">
        <v>597</v>
      </c>
      <c r="I218" s="3"/>
      <c r="J218" s="7" t="n">
        <f aca="false">LEN(E218)-SUMPRODUCT(LEN(E218)-LEN(SUBSTITUTE(E218,{"，","。","？","！","、","…","；","：","《","》"," ","“","”","—","（","）","·"},"")))</f>
        <v>10</v>
      </c>
      <c r="K218" s="23"/>
    </row>
    <row r="219" customFormat="false" ht="36" hidden="false" customHeight="true" outlineLevel="0" collapsed="false">
      <c r="A219" s="7" t="s">
        <v>113</v>
      </c>
      <c r="B219" s="15" t="n">
        <v>2</v>
      </c>
      <c r="C219" s="7" t="n">
        <v>21</v>
      </c>
      <c r="D219" s="22" t="s">
        <v>222</v>
      </c>
      <c r="E219" s="4" t="s">
        <v>598</v>
      </c>
      <c r="F219" s="23" t="s">
        <v>599</v>
      </c>
      <c r="G219" s="22" t="s">
        <v>42</v>
      </c>
      <c r="H219" s="3" t="s">
        <v>600</v>
      </c>
      <c r="I219" s="3"/>
      <c r="J219" s="7" t="n">
        <f aca="false">LEN(E219)-SUMPRODUCT(LEN(E219)-LEN(SUBSTITUTE(E219,{"，","。","？","！","、","…","；","：","《","》"," ","“","”","—","（","）","·"},"")))</f>
        <v>11</v>
      </c>
      <c r="K219" s="23"/>
    </row>
    <row r="220" customFormat="false" ht="36" hidden="false" customHeight="true" outlineLevel="0" collapsed="false">
      <c r="A220" s="7" t="s">
        <v>113</v>
      </c>
      <c r="B220" s="15" t="n">
        <v>2</v>
      </c>
      <c r="C220" s="7" t="n">
        <v>22</v>
      </c>
      <c r="D220" s="22" t="s">
        <v>219</v>
      </c>
      <c r="E220" s="4" t="s">
        <v>601</v>
      </c>
      <c r="F220" s="23" t="s">
        <v>602</v>
      </c>
      <c r="G220" s="22" t="s">
        <v>38</v>
      </c>
      <c r="H220" s="3"/>
      <c r="I220" s="3"/>
      <c r="J220" s="7" t="n">
        <f aca="false">LEN(E220)-SUMPRODUCT(LEN(E220)-LEN(SUBSTITUTE(E220,{"，","。","？","！","、","…","；","：","《","》"," ","“","”","—","（","）","·"},"")))</f>
        <v>44</v>
      </c>
      <c r="K220" s="23"/>
    </row>
    <row r="221" customFormat="false" ht="36" hidden="false" customHeight="true" outlineLevel="0" collapsed="false">
      <c r="A221" s="7" t="s">
        <v>113</v>
      </c>
      <c r="B221" s="15" t="n">
        <v>2</v>
      </c>
      <c r="C221" s="7" t="n">
        <v>23</v>
      </c>
      <c r="D221" s="22" t="s">
        <v>232</v>
      </c>
      <c r="E221" s="4" t="s">
        <v>603</v>
      </c>
      <c r="F221" s="23" t="s">
        <v>477</v>
      </c>
      <c r="G221" s="22" t="s">
        <v>36</v>
      </c>
      <c r="H221" s="3"/>
      <c r="I221" s="3"/>
      <c r="J221" s="7" t="n">
        <f aca="false">LEN(E221)-SUMPRODUCT(LEN(E221)-LEN(SUBSTITUTE(E221,{"，","。","？","！","、","…","；","：","《","》"," ","“","”","—","（","）","·"},"")))</f>
        <v>16</v>
      </c>
      <c r="K221" s="23"/>
    </row>
    <row r="222" customFormat="false" ht="36" hidden="false" customHeight="true" outlineLevel="0" collapsed="false">
      <c r="A222" s="7" t="s">
        <v>113</v>
      </c>
      <c r="B222" s="15" t="n">
        <v>2</v>
      </c>
      <c r="C222" s="7" t="n">
        <v>24</v>
      </c>
      <c r="D222" s="22" t="s">
        <v>222</v>
      </c>
      <c r="E222" s="4" t="s">
        <v>604</v>
      </c>
      <c r="F222" s="23" t="s">
        <v>477</v>
      </c>
      <c r="G222" s="22" t="s">
        <v>30</v>
      </c>
      <c r="H222" s="3"/>
      <c r="I222" s="3"/>
      <c r="J222" s="7" t="n">
        <f aca="false">LEN(E222)-SUMPRODUCT(LEN(E222)-LEN(SUBSTITUTE(E222,{"，","。","？","！","、","…","；","：","《","》"," ","“","”","—","（","）","·"},"")))</f>
        <v>19</v>
      </c>
      <c r="K222" s="23"/>
    </row>
    <row r="223" customFormat="false" ht="36" hidden="false" customHeight="true" outlineLevel="0" collapsed="false">
      <c r="A223" s="7" t="s">
        <v>113</v>
      </c>
      <c r="B223" s="15" t="n">
        <v>2</v>
      </c>
      <c r="C223" s="7" t="n">
        <v>25</v>
      </c>
      <c r="D223" s="22" t="s">
        <v>232</v>
      </c>
      <c r="E223" s="4" t="s">
        <v>605</v>
      </c>
      <c r="F223" s="23" t="s">
        <v>477</v>
      </c>
      <c r="G223" s="22" t="s">
        <v>30</v>
      </c>
      <c r="H223" s="3"/>
      <c r="I223" s="3"/>
      <c r="J223" s="7" t="n">
        <f aca="false">LEN(E223)-SUMPRODUCT(LEN(E223)-LEN(SUBSTITUTE(E223,{"，","。","？","！","、","…","；","：","《","》"," ","“","”","—","（","）","·"},"")))</f>
        <v>10</v>
      </c>
      <c r="K223" s="23"/>
    </row>
    <row r="224" customFormat="false" ht="36" hidden="false" customHeight="true" outlineLevel="0" collapsed="false">
      <c r="A224" s="7" t="s">
        <v>113</v>
      </c>
      <c r="B224" s="15" t="n">
        <v>2</v>
      </c>
      <c r="C224" s="7" t="n">
        <v>26</v>
      </c>
      <c r="D224" s="22" t="s">
        <v>222</v>
      </c>
      <c r="E224" s="4" t="s">
        <v>606</v>
      </c>
      <c r="F224" s="23" t="s">
        <v>509</v>
      </c>
      <c r="G224" s="22" t="s">
        <v>30</v>
      </c>
      <c r="H224" s="3"/>
      <c r="I224" s="3"/>
      <c r="J224" s="7" t="n">
        <f aca="false">LEN(E224)-SUMPRODUCT(LEN(E224)-LEN(SUBSTITUTE(E224,{"，","。","？","！","、","…","；","：","《","》"," ","“","”","—","（","）","·"},"")))</f>
        <v>25</v>
      </c>
      <c r="K224" s="23"/>
    </row>
    <row r="225" customFormat="false" ht="51" hidden="false" customHeight="true" outlineLevel="0" collapsed="false">
      <c r="A225" s="7" t="s">
        <v>113</v>
      </c>
      <c r="B225" s="15" t="n">
        <v>2</v>
      </c>
      <c r="C225" s="7" t="n">
        <v>27</v>
      </c>
      <c r="D225" s="22" t="s">
        <v>472</v>
      </c>
      <c r="E225" s="4" t="s">
        <v>607</v>
      </c>
      <c r="F225" s="23" t="s">
        <v>474</v>
      </c>
      <c r="G225" s="22" t="s">
        <v>32</v>
      </c>
      <c r="H225" s="3" t="s">
        <v>608</v>
      </c>
      <c r="I225" s="4" t="s">
        <v>609</v>
      </c>
      <c r="J225" s="7" t="n">
        <f aca="false">LEN(E225)-SUMPRODUCT(LEN(E225)-LEN(SUBSTITUTE(E225,{"，","。","？","！","、","…","；","：","《","》"," ","“","”","—","（","）","·"},"")))</f>
        <v>48</v>
      </c>
      <c r="K225" s="23"/>
    </row>
    <row r="226" customFormat="false" ht="21" hidden="false" customHeight="true" outlineLevel="0" collapsed="false">
      <c r="A226" s="7" t="s">
        <v>113</v>
      </c>
      <c r="B226" s="15" t="n">
        <v>2</v>
      </c>
      <c r="C226" s="7" t="n">
        <v>28</v>
      </c>
      <c r="D226" s="22" t="s">
        <v>232</v>
      </c>
      <c r="E226" s="4" t="s">
        <v>610</v>
      </c>
      <c r="F226" s="23" t="s">
        <v>477</v>
      </c>
      <c r="G226" s="22" t="s">
        <v>32</v>
      </c>
      <c r="H226" s="3" t="s">
        <v>611</v>
      </c>
      <c r="I226" s="3"/>
      <c r="J226" s="7" t="n">
        <f aca="false">LEN(E226)-SUMPRODUCT(LEN(E226)-LEN(SUBSTITUTE(E226,{"，","。","？","！","、","…","；","：","《","》"," ","“","”","—","（","）","·"},"")))</f>
        <v>7</v>
      </c>
      <c r="K226" s="23"/>
    </row>
    <row r="227" customFormat="false" ht="36" hidden="false" customHeight="true" outlineLevel="0" collapsed="false">
      <c r="A227" s="7" t="s">
        <v>113</v>
      </c>
      <c r="B227" s="15" t="n">
        <v>2</v>
      </c>
      <c r="C227" s="7" t="n">
        <v>29</v>
      </c>
      <c r="D227" s="22" t="s">
        <v>222</v>
      </c>
      <c r="E227" s="4" t="s">
        <v>612</v>
      </c>
      <c r="F227" s="23" t="s">
        <v>613</v>
      </c>
      <c r="G227" s="22" t="s">
        <v>30</v>
      </c>
      <c r="H227" s="3"/>
      <c r="I227" s="3"/>
      <c r="J227" s="7" t="n">
        <f aca="false">LEN(E227)-SUMPRODUCT(LEN(E227)-LEN(SUBSTITUTE(E227,{"，","。","？","！","、","…","；","：","《","》"," ","“","”","—","（","）","·"},"")))</f>
        <v>18</v>
      </c>
      <c r="K227" s="23"/>
    </row>
    <row r="228" customFormat="false" ht="51" hidden="false" customHeight="true" outlineLevel="0" collapsed="false">
      <c r="A228" s="7" t="s">
        <v>113</v>
      </c>
      <c r="B228" s="15" t="n">
        <v>2</v>
      </c>
      <c r="C228" s="7" t="n">
        <v>30</v>
      </c>
      <c r="D228" s="22" t="s">
        <v>472</v>
      </c>
      <c r="E228" s="4" t="s">
        <v>614</v>
      </c>
      <c r="F228" s="23" t="s">
        <v>474</v>
      </c>
      <c r="G228" s="22" t="s">
        <v>30</v>
      </c>
      <c r="H228" s="3"/>
      <c r="I228" s="4" t="s">
        <v>582</v>
      </c>
      <c r="J228" s="7" t="n">
        <f aca="false">LEN(E228)-SUMPRODUCT(LEN(E228)-LEN(SUBSTITUTE(E228,{"，","。","？","！","、","…","；","：","《","》"," ","“","”","—","（","）","·"},"")))</f>
        <v>47</v>
      </c>
      <c r="K228" s="23"/>
    </row>
    <row r="229" customFormat="false" ht="36" hidden="false" customHeight="true" outlineLevel="0" collapsed="false">
      <c r="A229" s="7" t="s">
        <v>113</v>
      </c>
      <c r="B229" s="15" t="n">
        <v>2</v>
      </c>
      <c r="C229" s="7" t="n">
        <v>31</v>
      </c>
      <c r="D229" s="22" t="s">
        <v>232</v>
      </c>
      <c r="E229" s="4" t="s">
        <v>615</v>
      </c>
      <c r="F229" s="23" t="s">
        <v>494</v>
      </c>
      <c r="G229" s="22" t="s">
        <v>30</v>
      </c>
      <c r="H229" s="3" t="s">
        <v>616</v>
      </c>
      <c r="I229" s="3"/>
      <c r="J229" s="7" t="n">
        <f aca="false">LEN(E229)-SUMPRODUCT(LEN(E229)-LEN(SUBSTITUTE(E229,{"，","。","？","！","、","…","；","：","《","》"," ","“","”","—","（","）","·"},"")))</f>
        <v>14</v>
      </c>
      <c r="K229" s="23"/>
    </row>
    <row r="230" customFormat="false" ht="36" hidden="false" customHeight="true" outlineLevel="0" collapsed="false">
      <c r="A230" s="7" t="s">
        <v>113</v>
      </c>
      <c r="B230" s="15" t="n">
        <v>2</v>
      </c>
      <c r="C230" s="7" t="n">
        <v>32</v>
      </c>
      <c r="D230" s="22" t="s">
        <v>222</v>
      </c>
      <c r="E230" s="4" t="s">
        <v>617</v>
      </c>
      <c r="F230" s="23" t="s">
        <v>613</v>
      </c>
      <c r="G230" s="22" t="s">
        <v>30</v>
      </c>
      <c r="H230" s="3"/>
      <c r="I230" s="3"/>
      <c r="J230" s="7" t="n">
        <f aca="false">LEN(E230)-SUMPRODUCT(LEN(E230)-LEN(SUBSTITUTE(E230,{"，","。","？","！","、","…","；","：","《","》"," ","“","”","—","（","）","·"},"")))</f>
        <v>29</v>
      </c>
      <c r="K230" s="23"/>
    </row>
    <row r="231" customFormat="false" ht="36" hidden="false" customHeight="true" outlineLevel="0" collapsed="false">
      <c r="A231" s="7" t="s">
        <v>113</v>
      </c>
      <c r="B231" s="15" t="n">
        <v>2</v>
      </c>
      <c r="C231" s="7" t="n">
        <v>33</v>
      </c>
      <c r="D231" s="22" t="s">
        <v>219</v>
      </c>
      <c r="E231" s="4" t="s">
        <v>618</v>
      </c>
      <c r="F231" s="23" t="s">
        <v>602</v>
      </c>
      <c r="G231" s="22" t="s">
        <v>30</v>
      </c>
      <c r="H231" s="3" t="s">
        <v>619</v>
      </c>
      <c r="I231" s="3"/>
      <c r="J231" s="7" t="n">
        <f aca="false">LEN(E231)-SUMPRODUCT(LEN(E231)-LEN(SUBSTITUTE(E231,{"，","。","？","！","、","…","；","：","《","》"," ","“","”","—","（","）","·"},"")))</f>
        <v>28</v>
      </c>
      <c r="K231" s="23"/>
    </row>
    <row r="232" customFormat="false" ht="36" hidden="false" customHeight="true" outlineLevel="0" collapsed="false">
      <c r="A232" s="7" t="s">
        <v>113</v>
      </c>
      <c r="B232" s="15" t="n">
        <v>2</v>
      </c>
      <c r="C232" s="7" t="n">
        <v>34</v>
      </c>
      <c r="D232" s="22" t="s">
        <v>232</v>
      </c>
      <c r="E232" s="4" t="s">
        <v>620</v>
      </c>
      <c r="F232" s="23" t="s">
        <v>621</v>
      </c>
      <c r="G232" s="22" t="s">
        <v>30</v>
      </c>
      <c r="H232" s="3"/>
      <c r="I232" s="4" t="s">
        <v>539</v>
      </c>
      <c r="J232" s="7" t="n">
        <f aca="false">LEN(E232)-SUMPRODUCT(LEN(E232)-LEN(SUBSTITUTE(E232,{"，","。","？","！","、","…","；","：","《","》"," ","“","”","—","（","）","·"},"")))</f>
        <v>26</v>
      </c>
      <c r="K232" s="23"/>
    </row>
    <row r="233" customFormat="false" ht="36" hidden="false" customHeight="true" outlineLevel="0" collapsed="false">
      <c r="A233" s="7" t="s">
        <v>113</v>
      </c>
      <c r="B233" s="15" t="n">
        <v>2</v>
      </c>
      <c r="C233" s="7" t="n">
        <v>35</v>
      </c>
      <c r="D233" s="22" t="s">
        <v>219</v>
      </c>
      <c r="E233" s="4" t="s">
        <v>622</v>
      </c>
      <c r="F233" s="23" t="s">
        <v>602</v>
      </c>
      <c r="G233" s="22" t="s">
        <v>30</v>
      </c>
      <c r="H233" s="3"/>
      <c r="I233" s="3"/>
      <c r="J233" s="7" t="n">
        <f aca="false">LEN(E233)-SUMPRODUCT(LEN(E233)-LEN(SUBSTITUTE(E233,{"，","。","？","！","、","…","；","：","《","》"," ","“","”","—","（","）","·"},"")))</f>
        <v>16</v>
      </c>
      <c r="K233" s="23"/>
    </row>
    <row r="234" customFormat="false" ht="36" hidden="false" customHeight="true" outlineLevel="0" collapsed="false">
      <c r="A234" s="7" t="s">
        <v>113</v>
      </c>
      <c r="B234" s="15" t="n">
        <v>2</v>
      </c>
      <c r="C234" s="7" t="n">
        <v>36</v>
      </c>
      <c r="D234" s="22" t="s">
        <v>472</v>
      </c>
      <c r="E234" s="4" t="s">
        <v>623</v>
      </c>
      <c r="F234" s="23" t="s">
        <v>624</v>
      </c>
      <c r="G234" s="22" t="s">
        <v>32</v>
      </c>
      <c r="H234" s="3" t="s">
        <v>611</v>
      </c>
      <c r="I234" s="4" t="s">
        <v>561</v>
      </c>
      <c r="J234" s="7" t="n">
        <f aca="false">LEN(E234)-SUMPRODUCT(LEN(E234)-LEN(SUBSTITUTE(E234,{"，","。","？","！","、","…","；","：","《","》"," ","“","”","—","（","）","·"},"")))</f>
        <v>26</v>
      </c>
      <c r="K234" s="23"/>
    </row>
    <row r="235" customFormat="false" ht="36" hidden="false" customHeight="true" outlineLevel="0" collapsed="false">
      <c r="A235" s="7" t="s">
        <v>113</v>
      </c>
      <c r="B235" s="15" t="n">
        <v>2</v>
      </c>
      <c r="C235" s="7" t="n">
        <v>37</v>
      </c>
      <c r="D235" s="22" t="s">
        <v>222</v>
      </c>
      <c r="E235" s="4" t="s">
        <v>625</v>
      </c>
      <c r="F235" s="23" t="s">
        <v>626</v>
      </c>
      <c r="G235" s="22" t="s">
        <v>32</v>
      </c>
      <c r="H235" s="3" t="s">
        <v>611</v>
      </c>
      <c r="I235" s="3"/>
      <c r="J235" s="7" t="n">
        <f aca="false">LEN(E235)-SUMPRODUCT(LEN(E235)-LEN(SUBSTITUTE(E235,{"，","。","？","！","、","…","；","：","《","》"," ","“","”","—","（","）","·"},"")))</f>
        <v>6</v>
      </c>
      <c r="K235" s="23"/>
    </row>
    <row r="236" customFormat="false" ht="36" hidden="false" customHeight="true" outlineLevel="0" collapsed="false">
      <c r="A236" s="7" t="s">
        <v>113</v>
      </c>
      <c r="B236" s="15" t="n">
        <v>2</v>
      </c>
      <c r="C236" s="7" t="n">
        <v>38</v>
      </c>
      <c r="D236" s="22" t="s">
        <v>472</v>
      </c>
      <c r="E236" s="4" t="s">
        <v>627</v>
      </c>
      <c r="F236" s="23" t="s">
        <v>485</v>
      </c>
      <c r="G236" s="22" t="s">
        <v>30</v>
      </c>
      <c r="H236" s="3"/>
      <c r="I236" s="3"/>
      <c r="J236" s="7" t="n">
        <f aca="false">LEN(E236)-SUMPRODUCT(LEN(E236)-LEN(SUBSTITUTE(E236,{"，","。","？","！","、","…","；","：","《","》"," ","“","”","—","（","）","·"},"")))</f>
        <v>24</v>
      </c>
      <c r="K236" s="23"/>
    </row>
    <row r="237" customFormat="false" ht="21" hidden="false" customHeight="true" outlineLevel="0" collapsed="false">
      <c r="A237" s="7" t="s">
        <v>113</v>
      </c>
      <c r="B237" s="15" t="n">
        <v>2</v>
      </c>
      <c r="C237" s="7" t="n">
        <v>39</v>
      </c>
      <c r="D237" s="22" t="s">
        <v>232</v>
      </c>
      <c r="E237" s="4" t="s">
        <v>628</v>
      </c>
      <c r="F237" s="23" t="s">
        <v>477</v>
      </c>
      <c r="G237" s="22" t="s">
        <v>32</v>
      </c>
      <c r="H237" s="3" t="s">
        <v>611</v>
      </c>
      <c r="I237" s="3"/>
      <c r="J237" s="7" t="n">
        <f aca="false">LEN(E237)-SUMPRODUCT(LEN(E237)-LEN(SUBSTITUTE(E237,{"，","。","？","！","、","…","；","：","《","》"," ","“","”","—","（","）","·"},"")))</f>
        <v>16</v>
      </c>
      <c r="K237" s="23"/>
    </row>
    <row r="238" customFormat="false" ht="36" hidden="false" customHeight="true" outlineLevel="0" collapsed="false">
      <c r="A238" s="7" t="s">
        <v>113</v>
      </c>
      <c r="B238" s="15" t="n">
        <v>2</v>
      </c>
      <c r="C238" s="7" t="n">
        <v>40</v>
      </c>
      <c r="D238" s="22" t="s">
        <v>219</v>
      </c>
      <c r="E238" s="4" t="s">
        <v>629</v>
      </c>
      <c r="F238" s="23" t="s">
        <v>584</v>
      </c>
      <c r="G238" s="22" t="s">
        <v>40</v>
      </c>
      <c r="H238" s="3" t="s">
        <v>630</v>
      </c>
      <c r="I238" s="3"/>
      <c r="J238" s="7" t="n">
        <f aca="false">LEN(E238)-SUMPRODUCT(LEN(E238)-LEN(SUBSTITUTE(E238,{"，","。","？","！","、","…","；","：","《","》"," ","“","”","—","（","）","·"},"")))</f>
        <v>22</v>
      </c>
      <c r="K238" s="23"/>
    </row>
    <row r="239" customFormat="false" ht="36" hidden="false" customHeight="true" outlineLevel="0" collapsed="false">
      <c r="A239" s="7" t="s">
        <v>113</v>
      </c>
      <c r="B239" s="15" t="n">
        <v>2</v>
      </c>
      <c r="C239" s="7" t="n">
        <v>41</v>
      </c>
      <c r="D239" s="22" t="s">
        <v>222</v>
      </c>
      <c r="E239" s="4" t="s">
        <v>631</v>
      </c>
      <c r="F239" s="23" t="s">
        <v>632</v>
      </c>
      <c r="G239" s="22" t="s">
        <v>42</v>
      </c>
      <c r="H239" s="3"/>
      <c r="I239" s="3"/>
      <c r="J239" s="7" t="n">
        <f aca="false">LEN(E239)-SUMPRODUCT(LEN(E239)-LEN(SUBSTITUTE(E239,{"，","。","？","！","、","…","；","：","《","》"," ","“","”","—","（","）","·"},"")))</f>
        <v>8</v>
      </c>
      <c r="K239" s="23"/>
    </row>
    <row r="240" customFormat="false" ht="21" hidden="false" customHeight="true" outlineLevel="0" collapsed="false">
      <c r="A240" s="7" t="s">
        <v>113</v>
      </c>
      <c r="B240" s="15" t="n">
        <v>2</v>
      </c>
      <c r="C240" s="7" t="n">
        <v>42</v>
      </c>
      <c r="D240" s="22" t="s">
        <v>232</v>
      </c>
      <c r="E240" s="4" t="s">
        <v>633</v>
      </c>
      <c r="F240" s="23" t="s">
        <v>550</v>
      </c>
      <c r="G240" s="22" t="s">
        <v>32</v>
      </c>
      <c r="H240" s="3" t="s">
        <v>634</v>
      </c>
      <c r="I240" s="3"/>
      <c r="J240" s="7" t="n">
        <f aca="false">LEN(E240)-SUMPRODUCT(LEN(E240)-LEN(SUBSTITUTE(E240,{"，","。","？","！","、","…","；","：","《","》"," ","“","”","—","（","）","·"},"")))</f>
        <v>12</v>
      </c>
      <c r="K240" s="23"/>
    </row>
    <row r="241" customFormat="false" ht="51" hidden="false" customHeight="true" outlineLevel="0" collapsed="false">
      <c r="A241" s="7" t="s">
        <v>118</v>
      </c>
      <c r="B241" s="15" t="n">
        <v>2</v>
      </c>
      <c r="C241" s="7" t="n">
        <v>1</v>
      </c>
      <c r="D241" s="22" t="s">
        <v>472</v>
      </c>
      <c r="E241" s="4" t="s">
        <v>635</v>
      </c>
      <c r="F241" s="23" t="s">
        <v>636</v>
      </c>
      <c r="G241" s="22" t="s">
        <v>30</v>
      </c>
      <c r="H241" s="3" t="s">
        <v>637</v>
      </c>
      <c r="I241" s="4" t="s">
        <v>638</v>
      </c>
      <c r="J241" s="7" t="n">
        <f aca="false">LEN(E241)-SUMPRODUCT(LEN(E241)-LEN(SUBSTITUTE(E241,{"，","。","？","！","、","…","；","：","《","》"," ","“","”","—","（","）","·"},"")))</f>
        <v>59</v>
      </c>
      <c r="K241" s="23"/>
    </row>
    <row r="242" customFormat="false" ht="21" hidden="false" customHeight="true" outlineLevel="0" collapsed="false">
      <c r="A242" s="7" t="s">
        <v>118</v>
      </c>
      <c r="B242" s="15" t="n">
        <v>2</v>
      </c>
      <c r="C242" s="7" t="n">
        <v>2</v>
      </c>
      <c r="D242" s="22" t="s">
        <v>222</v>
      </c>
      <c r="E242" s="4" t="s">
        <v>639</v>
      </c>
      <c r="F242" s="23" t="s">
        <v>477</v>
      </c>
      <c r="G242" s="22" t="s">
        <v>42</v>
      </c>
      <c r="H242" s="3"/>
      <c r="I242" s="3"/>
      <c r="J242" s="7" t="n">
        <f aca="false">LEN(E242)-SUMPRODUCT(LEN(E242)-LEN(SUBSTITUTE(E242,{"，","。","？","！","、","…","；","：","《","》"," ","“","”","—","（","）","·"},"")))</f>
        <v>11</v>
      </c>
      <c r="K242" s="23"/>
    </row>
    <row r="243" customFormat="false" ht="21" hidden="false" customHeight="true" outlineLevel="0" collapsed="false">
      <c r="A243" s="7" t="s">
        <v>118</v>
      </c>
      <c r="B243" s="15" t="n">
        <v>2</v>
      </c>
      <c r="C243" s="7" t="n">
        <v>3</v>
      </c>
      <c r="D243" s="22" t="s">
        <v>232</v>
      </c>
      <c r="E243" s="4" t="s">
        <v>640</v>
      </c>
      <c r="F243" s="23" t="s">
        <v>477</v>
      </c>
      <c r="G243" s="22" t="s">
        <v>42</v>
      </c>
      <c r="H243" s="3"/>
      <c r="I243" s="3"/>
      <c r="J243" s="7" t="n">
        <f aca="false">LEN(E243)-SUMPRODUCT(LEN(E243)-LEN(SUBSTITUTE(E243,{"，","。","？","！","、","…","；","：","《","》"," ","“","”","—","（","）","·"},"")))</f>
        <v>10</v>
      </c>
      <c r="K243" s="23"/>
    </row>
    <row r="244" customFormat="false" ht="51" hidden="false" customHeight="true" outlineLevel="0" collapsed="false">
      <c r="A244" s="7" t="s">
        <v>118</v>
      </c>
      <c r="B244" s="15" t="n">
        <v>2</v>
      </c>
      <c r="C244" s="7" t="n">
        <v>4</v>
      </c>
      <c r="D244" s="22" t="s">
        <v>472</v>
      </c>
      <c r="E244" s="4" t="s">
        <v>641</v>
      </c>
      <c r="F244" s="23" t="s">
        <v>642</v>
      </c>
      <c r="G244" s="22" t="s">
        <v>30</v>
      </c>
      <c r="H244" s="3" t="s">
        <v>643</v>
      </c>
      <c r="I244" s="3"/>
      <c r="J244" s="7" t="n">
        <f aca="false">LEN(E244)-SUMPRODUCT(LEN(E244)-LEN(SUBSTITUTE(E244,{"，","。","？","！","、","…","；","：","《","》"," ","“","”","—","（","）","·"},"")))</f>
        <v>59</v>
      </c>
      <c r="K244" s="23"/>
    </row>
    <row r="245" customFormat="false" ht="21" hidden="false" customHeight="true" outlineLevel="0" collapsed="false">
      <c r="A245" s="7" t="s">
        <v>118</v>
      </c>
      <c r="B245" s="15" t="n">
        <v>2</v>
      </c>
      <c r="C245" s="7" t="n">
        <v>5</v>
      </c>
      <c r="D245" s="22" t="s">
        <v>232</v>
      </c>
      <c r="E245" s="4" t="s">
        <v>644</v>
      </c>
      <c r="F245" s="23" t="s">
        <v>477</v>
      </c>
      <c r="G245" s="22" t="s">
        <v>32</v>
      </c>
      <c r="H245" s="3" t="s">
        <v>645</v>
      </c>
      <c r="I245" s="3"/>
      <c r="J245" s="7" t="n">
        <f aca="false">LEN(E245)-SUMPRODUCT(LEN(E245)-LEN(SUBSTITUTE(E245,{"，","。","？","！","、","…","；","：","《","》"," ","“","”","—","（","）","·"},"")))</f>
        <v>11</v>
      </c>
      <c r="K245" s="23"/>
    </row>
    <row r="246" customFormat="false" ht="51" hidden="false" customHeight="true" outlineLevel="0" collapsed="false">
      <c r="A246" s="7" t="s">
        <v>118</v>
      </c>
      <c r="B246" s="15" t="n">
        <v>2</v>
      </c>
      <c r="C246" s="7" t="n">
        <v>6</v>
      </c>
      <c r="D246" s="22" t="s">
        <v>646</v>
      </c>
      <c r="E246" s="4" t="s">
        <v>647</v>
      </c>
      <c r="F246" s="23" t="s">
        <v>648</v>
      </c>
      <c r="G246" s="22" t="s">
        <v>32</v>
      </c>
      <c r="H246" s="3" t="s">
        <v>649</v>
      </c>
      <c r="I246" s="4" t="s">
        <v>650</v>
      </c>
      <c r="J246" s="7" t="n">
        <f aca="false">LEN(E246)-SUMPRODUCT(LEN(E246)-LEN(SUBSTITUTE(E246,{"，","。","？","！","、","…","；","：","《","》"," ","“","”","—","（","）","·"},"")))</f>
        <v>57</v>
      </c>
      <c r="K246" s="23"/>
    </row>
    <row r="247" customFormat="false" ht="36" hidden="false" customHeight="true" outlineLevel="0" collapsed="false">
      <c r="A247" s="7" t="s">
        <v>118</v>
      </c>
      <c r="B247" s="15" t="n">
        <v>2</v>
      </c>
      <c r="C247" s="7" t="n">
        <v>7</v>
      </c>
      <c r="D247" s="22" t="s">
        <v>232</v>
      </c>
      <c r="E247" s="4" t="s">
        <v>651</v>
      </c>
      <c r="F247" s="23" t="s">
        <v>477</v>
      </c>
      <c r="G247" s="22" t="s">
        <v>30</v>
      </c>
      <c r="H247" s="3"/>
      <c r="I247" s="3"/>
      <c r="J247" s="7" t="n">
        <f aca="false">LEN(E247)-SUMPRODUCT(LEN(E247)-LEN(SUBSTITUTE(E247,{"，","。","？","！","、","…","；","：","《","》"," ","“","”","—","（","）","·"},"")))</f>
        <v>6</v>
      </c>
      <c r="K247" s="23"/>
    </row>
    <row r="248" customFormat="false" ht="36" hidden="false" customHeight="true" outlineLevel="0" collapsed="false">
      <c r="A248" s="7" t="s">
        <v>118</v>
      </c>
      <c r="B248" s="15" t="n">
        <v>2</v>
      </c>
      <c r="C248" s="7" t="n">
        <v>8</v>
      </c>
      <c r="D248" s="22" t="s">
        <v>222</v>
      </c>
      <c r="E248" s="4" t="s">
        <v>652</v>
      </c>
      <c r="F248" s="23" t="s">
        <v>477</v>
      </c>
      <c r="G248" s="22" t="s">
        <v>30</v>
      </c>
      <c r="H248" s="3"/>
      <c r="I248" s="3"/>
      <c r="J248" s="7" t="n">
        <f aca="false">LEN(E248)-SUMPRODUCT(LEN(E248)-LEN(SUBSTITUTE(E248,{"，","。","？","！","、","…","；","：","《","》"," ","“","”","—","（","）","·"},"")))</f>
        <v>10</v>
      </c>
      <c r="K248" s="23"/>
    </row>
    <row r="249" customFormat="false" ht="51" hidden="false" customHeight="true" outlineLevel="0" collapsed="false">
      <c r="A249" s="7" t="s">
        <v>118</v>
      </c>
      <c r="B249" s="15" t="n">
        <v>2</v>
      </c>
      <c r="C249" s="7" t="n">
        <v>9</v>
      </c>
      <c r="D249" s="22" t="s">
        <v>472</v>
      </c>
      <c r="E249" s="4" t="s">
        <v>653</v>
      </c>
      <c r="F249" s="23" t="s">
        <v>474</v>
      </c>
      <c r="G249" s="22" t="s">
        <v>32</v>
      </c>
      <c r="H249" s="3" t="s">
        <v>654</v>
      </c>
      <c r="I249" s="3"/>
      <c r="J249" s="7" t="n">
        <f aca="false">LEN(E249)-SUMPRODUCT(LEN(E249)-LEN(SUBSTITUTE(E249,{"，","。","？","！","、","…","；","：","《","》"," ","“","”","—","（","）","·"},"")))</f>
        <v>57</v>
      </c>
      <c r="K249" s="23"/>
    </row>
    <row r="250" customFormat="false" ht="36" hidden="false" customHeight="true" outlineLevel="0" collapsed="false">
      <c r="A250" s="7" t="s">
        <v>118</v>
      </c>
      <c r="B250" s="15" t="n">
        <v>2</v>
      </c>
      <c r="C250" s="7" t="n">
        <v>10</v>
      </c>
      <c r="D250" s="22" t="s">
        <v>232</v>
      </c>
      <c r="E250" s="4" t="s">
        <v>655</v>
      </c>
      <c r="F250" s="23" t="s">
        <v>577</v>
      </c>
      <c r="G250" s="22" t="s">
        <v>32</v>
      </c>
      <c r="H250" s="3" t="s">
        <v>656</v>
      </c>
      <c r="I250" s="3"/>
      <c r="J250" s="7" t="n">
        <f aca="false">LEN(E250)-SUMPRODUCT(LEN(E250)-LEN(SUBSTITUTE(E250,{"，","。","？","！","、","…","；","：","《","》"," ","“","”","—","（","）","·"},"")))</f>
        <v>8</v>
      </c>
      <c r="K250" s="23"/>
    </row>
    <row r="251" customFormat="false" ht="21" hidden="false" customHeight="true" outlineLevel="0" collapsed="false">
      <c r="A251" s="7" t="s">
        <v>118</v>
      </c>
      <c r="B251" s="15" t="n">
        <v>2</v>
      </c>
      <c r="C251" s="7" t="n">
        <v>11</v>
      </c>
      <c r="D251" s="22" t="s">
        <v>222</v>
      </c>
      <c r="E251" s="4" t="s">
        <v>657</v>
      </c>
      <c r="F251" s="23" t="s">
        <v>477</v>
      </c>
      <c r="G251" s="22" t="s">
        <v>32</v>
      </c>
      <c r="H251" s="3" t="s">
        <v>658</v>
      </c>
      <c r="I251" s="3"/>
      <c r="J251" s="7" t="n">
        <f aca="false">LEN(E251)-SUMPRODUCT(LEN(E251)-LEN(SUBSTITUTE(E251,{"，","。","？","！","、","…","；","：","《","》"," ","“","”","—","（","）","·"},"")))</f>
        <v>10</v>
      </c>
      <c r="K251" s="23"/>
    </row>
    <row r="252" customFormat="false" ht="36" hidden="false" customHeight="true" outlineLevel="0" collapsed="false">
      <c r="A252" s="7" t="s">
        <v>118</v>
      </c>
      <c r="B252" s="15" t="n">
        <v>2</v>
      </c>
      <c r="C252" s="7" t="n">
        <v>12</v>
      </c>
      <c r="D252" s="22" t="s">
        <v>646</v>
      </c>
      <c r="E252" s="4" t="s">
        <v>659</v>
      </c>
      <c r="F252" s="23" t="s">
        <v>660</v>
      </c>
      <c r="G252" s="22" t="s">
        <v>30</v>
      </c>
      <c r="H252" s="3"/>
      <c r="I252" s="3"/>
      <c r="J252" s="7" t="n">
        <f aca="false">LEN(E252)-SUMPRODUCT(LEN(E252)-LEN(SUBSTITUTE(E252,{"，","。","？","！","、","…","；","：","《","》"," ","“","”","—","（","）","·"},"")))</f>
        <v>27</v>
      </c>
      <c r="K252" s="23"/>
    </row>
    <row r="253" customFormat="false" ht="51" hidden="false" customHeight="true" outlineLevel="0" collapsed="false">
      <c r="A253" s="7" t="s">
        <v>118</v>
      </c>
      <c r="B253" s="15" t="n">
        <v>2</v>
      </c>
      <c r="C253" s="7" t="n">
        <v>13</v>
      </c>
      <c r="D253" s="22" t="s">
        <v>472</v>
      </c>
      <c r="E253" s="4" t="s">
        <v>661</v>
      </c>
      <c r="F253" s="23" t="s">
        <v>662</v>
      </c>
      <c r="G253" s="22" t="s">
        <v>32</v>
      </c>
      <c r="H253" s="3" t="s">
        <v>663</v>
      </c>
      <c r="I253" s="4" t="s">
        <v>664</v>
      </c>
      <c r="J253" s="7" t="n">
        <f aca="false">LEN(E253)-SUMPRODUCT(LEN(E253)-LEN(SUBSTITUTE(E253,{"，","。","？","！","、","…","；","：","《","》"," ","“","”","—","（","）","·"},"")))</f>
        <v>60</v>
      </c>
      <c r="K253" s="23"/>
    </row>
    <row r="254" customFormat="false" ht="36" hidden="false" customHeight="true" outlineLevel="0" collapsed="false">
      <c r="A254" s="7" t="s">
        <v>118</v>
      </c>
      <c r="B254" s="15" t="n">
        <v>2</v>
      </c>
      <c r="C254" s="7" t="n">
        <v>14</v>
      </c>
      <c r="D254" s="22" t="s">
        <v>222</v>
      </c>
      <c r="E254" s="4" t="s">
        <v>665</v>
      </c>
      <c r="F254" s="23" t="s">
        <v>477</v>
      </c>
      <c r="G254" s="22" t="s">
        <v>30</v>
      </c>
      <c r="H254" s="3" t="s">
        <v>666</v>
      </c>
      <c r="I254" s="4" t="s">
        <v>664</v>
      </c>
      <c r="J254" s="7" t="n">
        <f aca="false">LEN(E254)-SUMPRODUCT(LEN(E254)-LEN(SUBSTITUTE(E254,{"，","。","？","！","、","…","；","：","《","》"," ","“","”","—","（","）","·"},"")))</f>
        <v>16</v>
      </c>
      <c r="K254" s="23"/>
    </row>
    <row r="255" customFormat="false" ht="36" hidden="false" customHeight="true" outlineLevel="0" collapsed="false">
      <c r="A255" s="7" t="s">
        <v>118</v>
      </c>
      <c r="B255" s="15" t="n">
        <v>2</v>
      </c>
      <c r="C255" s="7" t="n">
        <v>15</v>
      </c>
      <c r="D255" s="22" t="s">
        <v>232</v>
      </c>
      <c r="E255" s="4" t="s">
        <v>667</v>
      </c>
      <c r="F255" s="23" t="s">
        <v>477</v>
      </c>
      <c r="G255" s="22" t="s">
        <v>30</v>
      </c>
      <c r="H255" s="3"/>
      <c r="I255" s="3"/>
      <c r="J255" s="7" t="n">
        <f aca="false">LEN(E255)-SUMPRODUCT(LEN(E255)-LEN(SUBSTITUTE(E255,{"，","。","？","！","、","…","；","：","《","》"," ","“","”","—","（","）","·"},"")))</f>
        <v>17</v>
      </c>
      <c r="K255" s="23"/>
    </row>
    <row r="256" customFormat="false" ht="36" hidden="false" customHeight="true" outlineLevel="0" collapsed="false">
      <c r="A256" s="7" t="s">
        <v>118</v>
      </c>
      <c r="B256" s="15" t="n">
        <v>2</v>
      </c>
      <c r="C256" s="7" t="n">
        <v>16</v>
      </c>
      <c r="D256" s="22" t="s">
        <v>472</v>
      </c>
      <c r="E256" s="4" t="s">
        <v>668</v>
      </c>
      <c r="F256" s="23" t="s">
        <v>474</v>
      </c>
      <c r="G256" s="22" t="s">
        <v>32</v>
      </c>
      <c r="H256" s="3" t="s">
        <v>669</v>
      </c>
      <c r="I256" s="3"/>
      <c r="J256" s="7" t="n">
        <f aca="false">LEN(E256)-SUMPRODUCT(LEN(E256)-LEN(SUBSTITUTE(E256,{"，","。","？","！","、","…","；","：","《","》"," ","“","”","—","（","）","·"},"")))</f>
        <v>41</v>
      </c>
      <c r="K256" s="23"/>
    </row>
    <row r="257" customFormat="false" ht="21" hidden="false" customHeight="true" outlineLevel="0" collapsed="false">
      <c r="A257" s="7" t="s">
        <v>118</v>
      </c>
      <c r="B257" s="15" t="n">
        <v>2</v>
      </c>
      <c r="C257" s="7" t="n">
        <v>17</v>
      </c>
      <c r="D257" s="22" t="s">
        <v>232</v>
      </c>
      <c r="E257" s="4" t="s">
        <v>670</v>
      </c>
      <c r="F257" s="23" t="s">
        <v>477</v>
      </c>
      <c r="G257" s="22" t="s">
        <v>32</v>
      </c>
      <c r="H257" s="3" t="s">
        <v>671</v>
      </c>
      <c r="I257" s="3"/>
      <c r="J257" s="7" t="n">
        <f aca="false">LEN(E257)-SUMPRODUCT(LEN(E257)-LEN(SUBSTITUTE(E257,{"，","。","？","！","、","…","；","：","《","》"," ","“","”","—","（","）","·"},"")))</f>
        <v>16</v>
      </c>
      <c r="K257" s="23"/>
    </row>
    <row r="258" customFormat="false" ht="21" hidden="false" customHeight="true" outlineLevel="0" collapsed="false">
      <c r="A258" s="7" t="s">
        <v>118</v>
      </c>
      <c r="B258" s="15" t="n">
        <v>2</v>
      </c>
      <c r="C258" s="7" t="n">
        <v>18</v>
      </c>
      <c r="D258" s="22" t="s">
        <v>222</v>
      </c>
      <c r="E258" s="4" t="s">
        <v>672</v>
      </c>
      <c r="F258" s="23" t="s">
        <v>477</v>
      </c>
      <c r="G258" s="22" t="s">
        <v>42</v>
      </c>
      <c r="H258" s="3"/>
      <c r="I258" s="3"/>
      <c r="J258" s="7" t="n">
        <f aca="false">LEN(E258)-SUMPRODUCT(LEN(E258)-LEN(SUBSTITUTE(E258,{"，","。","？","！","、","…","；","：","《","》"," ","“","”","—","（","）","·"},"")))</f>
        <v>13</v>
      </c>
      <c r="K258" s="23"/>
    </row>
    <row r="259" customFormat="false" ht="36" hidden="false" customHeight="true" outlineLevel="0" collapsed="false">
      <c r="A259" s="7" t="s">
        <v>118</v>
      </c>
      <c r="B259" s="15" t="n">
        <v>2</v>
      </c>
      <c r="C259" s="7" t="n">
        <v>19</v>
      </c>
      <c r="D259" s="22" t="s">
        <v>646</v>
      </c>
      <c r="E259" s="4" t="s">
        <v>673</v>
      </c>
      <c r="F259" s="23" t="s">
        <v>674</v>
      </c>
      <c r="G259" s="22" t="s">
        <v>42</v>
      </c>
      <c r="H259" s="3"/>
      <c r="I259" s="3"/>
      <c r="J259" s="7" t="n">
        <f aca="false">LEN(E259)-SUMPRODUCT(LEN(E259)-LEN(SUBSTITUTE(E259,{"，","。","？","！","、","…","；","：","《","》"," ","“","”","—","（","）","·"},"")))</f>
        <v>11</v>
      </c>
      <c r="K259" s="23"/>
    </row>
    <row r="260" customFormat="false" ht="36" hidden="false" customHeight="true" outlineLevel="0" collapsed="false">
      <c r="A260" s="7" t="s">
        <v>118</v>
      </c>
      <c r="B260" s="15" t="n">
        <v>2</v>
      </c>
      <c r="C260" s="7" t="n">
        <v>20</v>
      </c>
      <c r="D260" s="22" t="s">
        <v>222</v>
      </c>
      <c r="E260" s="4" t="s">
        <v>675</v>
      </c>
      <c r="F260" s="23" t="s">
        <v>676</v>
      </c>
      <c r="G260" s="22" t="s">
        <v>34</v>
      </c>
      <c r="H260" s="3"/>
      <c r="I260" s="3"/>
      <c r="J260" s="7" t="n">
        <f aca="false">LEN(E260)-SUMPRODUCT(LEN(E260)-LEN(SUBSTITUTE(E260,{"，","。","？","！","、","…","；","：","《","》"," ","“","”","—","（","）","·"},"")))</f>
        <v>13</v>
      </c>
      <c r="K260" s="23"/>
    </row>
    <row r="261" customFormat="false" ht="51" hidden="false" customHeight="true" outlineLevel="0" collapsed="false">
      <c r="A261" s="7" t="s">
        <v>118</v>
      </c>
      <c r="B261" s="15" t="n">
        <v>2</v>
      </c>
      <c r="C261" s="7" t="n">
        <v>21</v>
      </c>
      <c r="D261" s="22" t="s">
        <v>472</v>
      </c>
      <c r="E261" s="4" t="s">
        <v>677</v>
      </c>
      <c r="F261" s="23" t="s">
        <v>474</v>
      </c>
      <c r="G261" s="22" t="s">
        <v>30</v>
      </c>
      <c r="H261" s="3" t="s">
        <v>678</v>
      </c>
      <c r="I261" s="3"/>
      <c r="J261" s="7" t="n">
        <f aca="false">LEN(E261)-SUMPRODUCT(LEN(E261)-LEN(SUBSTITUTE(E261,{"，","。","？","！","、","…","；","：","《","》"," ","“","”","—","（","）","·"},"")))</f>
        <v>49</v>
      </c>
      <c r="K261" s="23"/>
    </row>
    <row r="262" customFormat="false" ht="36" hidden="false" customHeight="true" outlineLevel="0" collapsed="false">
      <c r="A262" s="7" t="s">
        <v>118</v>
      </c>
      <c r="B262" s="15" t="n">
        <v>2</v>
      </c>
      <c r="C262" s="7" t="n">
        <v>22</v>
      </c>
      <c r="D262" s="22" t="s">
        <v>232</v>
      </c>
      <c r="E262" s="4" t="s">
        <v>679</v>
      </c>
      <c r="F262" s="23" t="s">
        <v>509</v>
      </c>
      <c r="G262" s="22" t="s">
        <v>34</v>
      </c>
      <c r="H262" s="3"/>
      <c r="I262" s="3"/>
      <c r="J262" s="7" t="n">
        <f aca="false">LEN(E262)-SUMPRODUCT(LEN(E262)-LEN(SUBSTITUTE(E262,{"，","。","？","！","、","…","；","：","《","》"," ","“","”","—","（","）","·"},"")))</f>
        <v>22</v>
      </c>
      <c r="K262" s="23"/>
    </row>
    <row r="263" customFormat="false" ht="36" hidden="false" customHeight="true" outlineLevel="0" collapsed="false">
      <c r="A263" s="7" t="s">
        <v>118</v>
      </c>
      <c r="B263" s="15" t="n">
        <v>2</v>
      </c>
      <c r="C263" s="7" t="n">
        <v>23</v>
      </c>
      <c r="D263" s="22" t="s">
        <v>646</v>
      </c>
      <c r="E263" s="4" t="s">
        <v>680</v>
      </c>
      <c r="F263" s="23" t="s">
        <v>674</v>
      </c>
      <c r="G263" s="22" t="s">
        <v>30</v>
      </c>
      <c r="H263" s="3"/>
      <c r="I263" s="3"/>
      <c r="J263" s="7" t="n">
        <f aca="false">LEN(E263)-SUMPRODUCT(LEN(E263)-LEN(SUBSTITUTE(E263,{"，","。","？","！","、","…","；","：","《","》"," ","“","”","—","（","）","·"},"")))</f>
        <v>26</v>
      </c>
      <c r="K263" s="23"/>
    </row>
    <row r="264" customFormat="false" ht="21" hidden="false" customHeight="true" outlineLevel="0" collapsed="false">
      <c r="A264" s="7" t="s">
        <v>118</v>
      </c>
      <c r="B264" s="15" t="n">
        <v>2</v>
      </c>
      <c r="C264" s="7" t="n">
        <v>24</v>
      </c>
      <c r="D264" s="22" t="s">
        <v>222</v>
      </c>
      <c r="E264" s="4" t="s">
        <v>681</v>
      </c>
      <c r="F264" s="23" t="s">
        <v>682</v>
      </c>
      <c r="G264" s="22" t="s">
        <v>42</v>
      </c>
      <c r="H264" s="3"/>
      <c r="I264" s="3"/>
      <c r="J264" s="7" t="n">
        <f aca="false">LEN(E264)-SUMPRODUCT(LEN(E264)-LEN(SUBSTITUTE(E264,{"，","。","？","！","、","…","；","：","《","》"," ","“","”","—","（","）","·"},"")))</f>
        <v>15</v>
      </c>
      <c r="K264" s="23"/>
    </row>
    <row r="265" customFormat="false" ht="36" hidden="false" customHeight="true" outlineLevel="0" collapsed="false">
      <c r="A265" s="7" t="s">
        <v>118</v>
      </c>
      <c r="B265" s="15" t="n">
        <v>2</v>
      </c>
      <c r="C265" s="7" t="n">
        <v>25</v>
      </c>
      <c r="D265" s="22" t="s">
        <v>232</v>
      </c>
      <c r="E265" s="4" t="s">
        <v>683</v>
      </c>
      <c r="F265" s="23" t="s">
        <v>477</v>
      </c>
      <c r="G265" s="22" t="s">
        <v>30</v>
      </c>
      <c r="H265" s="3"/>
      <c r="I265" s="3"/>
      <c r="J265" s="7" t="n">
        <f aca="false">LEN(E265)-SUMPRODUCT(LEN(E265)-LEN(SUBSTITUTE(E265,{"，","。","？","！","、","…","；","：","《","》"," ","“","”","—","（","）","·"},"")))</f>
        <v>9</v>
      </c>
      <c r="K265" s="23"/>
    </row>
    <row r="266" customFormat="false" ht="36" hidden="false" customHeight="true" outlineLevel="0" collapsed="false">
      <c r="A266" s="7" t="s">
        <v>118</v>
      </c>
      <c r="B266" s="15" t="n">
        <v>2</v>
      </c>
      <c r="C266" s="7" t="n">
        <v>26</v>
      </c>
      <c r="D266" s="22" t="s">
        <v>222</v>
      </c>
      <c r="E266" s="4" t="s">
        <v>684</v>
      </c>
      <c r="F266" s="23" t="s">
        <v>477</v>
      </c>
      <c r="G266" s="22" t="s">
        <v>30</v>
      </c>
      <c r="H266" s="3"/>
      <c r="I266" s="3"/>
      <c r="J266" s="7" t="n">
        <f aca="false">LEN(E266)-SUMPRODUCT(LEN(E266)-LEN(SUBSTITUTE(E266,{"，","。","？","！","、","…","；","：","《","》"," ","“","”","—","（","）","·"},"")))</f>
        <v>13</v>
      </c>
      <c r="K266" s="23"/>
    </row>
    <row r="267" customFormat="false" ht="36" hidden="false" customHeight="true" outlineLevel="0" collapsed="false">
      <c r="A267" s="7" t="s">
        <v>118</v>
      </c>
      <c r="B267" s="15" t="n">
        <v>2</v>
      </c>
      <c r="C267" s="7" t="n">
        <v>27</v>
      </c>
      <c r="D267" s="22" t="s">
        <v>232</v>
      </c>
      <c r="E267" s="4" t="s">
        <v>685</v>
      </c>
      <c r="F267" s="23" t="s">
        <v>477</v>
      </c>
      <c r="G267" s="22" t="s">
        <v>30</v>
      </c>
      <c r="H267" s="3"/>
      <c r="I267" s="3"/>
      <c r="J267" s="7" t="n">
        <f aca="false">LEN(E267)-SUMPRODUCT(LEN(E267)-LEN(SUBSTITUTE(E267,{"，","。","？","！","、","…","；","：","《","》"," ","“","”","—","（","）","·"},"")))</f>
        <v>11</v>
      </c>
      <c r="K267" s="23"/>
    </row>
    <row r="268" customFormat="false" ht="36" hidden="false" customHeight="true" outlineLevel="0" collapsed="false">
      <c r="A268" s="7" t="s">
        <v>118</v>
      </c>
      <c r="B268" s="15" t="n">
        <v>2</v>
      </c>
      <c r="C268" s="7" t="n">
        <v>28</v>
      </c>
      <c r="D268" s="22" t="s">
        <v>472</v>
      </c>
      <c r="E268" s="4" t="s">
        <v>686</v>
      </c>
      <c r="F268" s="23" t="s">
        <v>474</v>
      </c>
      <c r="G268" s="22" t="s">
        <v>32</v>
      </c>
      <c r="H268" s="3" t="s">
        <v>687</v>
      </c>
      <c r="I268" s="3"/>
      <c r="J268" s="7" t="n">
        <f aca="false">LEN(E268)-SUMPRODUCT(LEN(E268)-LEN(SUBSTITUTE(E268,{"，","。","？","！","、","…","；","：","《","》"," ","“","”","—","（","）","·"},"")))</f>
        <v>38</v>
      </c>
      <c r="K268" s="23"/>
    </row>
    <row r="269" customFormat="false" ht="36" hidden="false" customHeight="true" outlineLevel="0" collapsed="false">
      <c r="A269" s="7" t="s">
        <v>118</v>
      </c>
      <c r="B269" s="15" t="n">
        <v>2</v>
      </c>
      <c r="C269" s="7" t="n">
        <v>29</v>
      </c>
      <c r="D269" s="22" t="s">
        <v>232</v>
      </c>
      <c r="E269" s="4" t="s">
        <v>688</v>
      </c>
      <c r="F269" s="23" t="s">
        <v>613</v>
      </c>
      <c r="G269" s="22" t="s">
        <v>34</v>
      </c>
      <c r="H269" s="3"/>
      <c r="I269" s="3"/>
      <c r="J269" s="7" t="n">
        <f aca="false">LEN(E269)-SUMPRODUCT(LEN(E269)-LEN(SUBSTITUTE(E269,{"，","。","？","！","、","…","；","：","《","》"," ","“","”","—","（","）","·"},"")))</f>
        <v>36</v>
      </c>
      <c r="K269" s="23"/>
    </row>
    <row r="270" customFormat="false" ht="36" hidden="false" customHeight="true" outlineLevel="0" collapsed="false">
      <c r="A270" s="7" t="s">
        <v>118</v>
      </c>
      <c r="B270" s="15" t="n">
        <v>2</v>
      </c>
      <c r="C270" s="7" t="n">
        <v>30</v>
      </c>
      <c r="D270" s="22" t="s">
        <v>646</v>
      </c>
      <c r="E270" s="4" t="s">
        <v>689</v>
      </c>
      <c r="F270" s="23" t="s">
        <v>674</v>
      </c>
      <c r="G270" s="22" t="s">
        <v>32</v>
      </c>
      <c r="H270" s="3" t="s">
        <v>690</v>
      </c>
      <c r="I270" s="3"/>
      <c r="J270" s="7" t="n">
        <f aca="false">LEN(E270)-SUMPRODUCT(LEN(E270)-LEN(SUBSTITUTE(E270,{"，","。","？","！","、","…","；","：","《","》"," ","“","”","—","（","）","·"},"")))</f>
        <v>28</v>
      </c>
      <c r="K270" s="23"/>
    </row>
    <row r="271" customFormat="false" ht="21" hidden="false" customHeight="true" outlineLevel="0" collapsed="false">
      <c r="A271" s="7" t="s">
        <v>118</v>
      </c>
      <c r="B271" s="15" t="n">
        <v>2</v>
      </c>
      <c r="C271" s="7" t="n">
        <v>31</v>
      </c>
      <c r="D271" s="22" t="s">
        <v>232</v>
      </c>
      <c r="E271" s="4" t="s">
        <v>691</v>
      </c>
      <c r="F271" s="23" t="s">
        <v>682</v>
      </c>
      <c r="G271" s="22" t="s">
        <v>42</v>
      </c>
      <c r="H271" s="3"/>
      <c r="I271" s="3"/>
      <c r="J271" s="7" t="n">
        <f aca="false">LEN(E271)-SUMPRODUCT(LEN(E271)-LEN(SUBSTITUTE(E271,{"，","。","？","！","、","…","；","：","《","》"," ","“","”","—","（","）","·"},"")))</f>
        <v>7</v>
      </c>
      <c r="K271" s="23"/>
    </row>
    <row r="272" customFormat="false" ht="36" hidden="false" customHeight="true" outlineLevel="0" collapsed="false">
      <c r="A272" s="7" t="s">
        <v>118</v>
      </c>
      <c r="B272" s="15" t="n">
        <v>2</v>
      </c>
      <c r="C272" s="7" t="n">
        <v>32</v>
      </c>
      <c r="D272" s="22" t="s">
        <v>472</v>
      </c>
      <c r="E272" s="4" t="s">
        <v>692</v>
      </c>
      <c r="F272" s="23" t="s">
        <v>507</v>
      </c>
      <c r="G272" s="22" t="s">
        <v>42</v>
      </c>
      <c r="H272" s="3"/>
      <c r="I272" s="3"/>
      <c r="J272" s="7" t="n">
        <f aca="false">LEN(E272)-SUMPRODUCT(LEN(E272)-LEN(SUBSTITUTE(E272,{"，","。","？","！","、","…","；","：","《","》"," ","“","”","—","（","）","·"},"")))</f>
        <v>22</v>
      </c>
      <c r="K272" s="23"/>
    </row>
    <row r="273" customFormat="false" ht="21" hidden="false" customHeight="true" outlineLevel="0" collapsed="false">
      <c r="A273" s="7" t="s">
        <v>118</v>
      </c>
      <c r="B273" s="15" t="n">
        <v>2</v>
      </c>
      <c r="C273" s="7" t="n">
        <v>33</v>
      </c>
      <c r="D273" s="22" t="s">
        <v>222</v>
      </c>
      <c r="E273" s="4" t="s">
        <v>693</v>
      </c>
      <c r="F273" s="23" t="s">
        <v>550</v>
      </c>
      <c r="G273" s="22" t="s">
        <v>42</v>
      </c>
      <c r="H273" s="3"/>
      <c r="I273" s="3"/>
      <c r="J273" s="7" t="n">
        <f aca="false">LEN(E273)-SUMPRODUCT(LEN(E273)-LEN(SUBSTITUTE(E273,{"，","。","？","！","、","…","；","：","《","》"," ","“","”","—","（","）","·"},"")))</f>
        <v>4</v>
      </c>
      <c r="K273" s="23"/>
    </row>
    <row r="274" customFormat="false" ht="36" hidden="false" customHeight="true" outlineLevel="0" collapsed="false">
      <c r="A274" s="7" t="s">
        <v>118</v>
      </c>
      <c r="B274" s="15" t="n">
        <v>2</v>
      </c>
      <c r="C274" s="7" t="n">
        <v>34</v>
      </c>
      <c r="D274" s="22" t="s">
        <v>232</v>
      </c>
      <c r="E274" s="4" t="s">
        <v>694</v>
      </c>
      <c r="F274" s="23" t="s">
        <v>695</v>
      </c>
      <c r="G274" s="22" t="s">
        <v>42</v>
      </c>
      <c r="H274" s="3"/>
      <c r="I274" s="3"/>
      <c r="J274" s="7" t="n">
        <f aca="false">LEN(E274)-SUMPRODUCT(LEN(E274)-LEN(SUBSTITUTE(E274,{"，","。","？","！","、","…","；","：","《","》"," ","“","”","—","（","）","·"},"")))</f>
        <v>16</v>
      </c>
      <c r="K274" s="23"/>
    </row>
    <row r="275" customFormat="false" ht="36" hidden="false" customHeight="true" outlineLevel="0" collapsed="false">
      <c r="A275" s="7" t="s">
        <v>118</v>
      </c>
      <c r="B275" s="15" t="n">
        <v>2</v>
      </c>
      <c r="C275" s="7" t="n">
        <v>35</v>
      </c>
      <c r="D275" s="22" t="s">
        <v>222</v>
      </c>
      <c r="E275" s="4" t="s">
        <v>696</v>
      </c>
      <c r="F275" s="23" t="s">
        <v>697</v>
      </c>
      <c r="G275" s="22" t="s">
        <v>42</v>
      </c>
      <c r="H275" s="3"/>
      <c r="I275" s="3"/>
      <c r="J275" s="7" t="n">
        <f aca="false">LEN(E275)-SUMPRODUCT(LEN(E275)-LEN(SUBSTITUTE(E275,{"，","。","？","！","、","…","；","：","《","》"," ","“","”","—","（","）","·"},"")))</f>
        <v>15</v>
      </c>
      <c r="K275" s="23"/>
    </row>
    <row r="276" customFormat="false" ht="36" hidden="false" customHeight="true" outlineLevel="0" collapsed="false">
      <c r="A276" s="7" t="s">
        <v>118</v>
      </c>
      <c r="B276" s="15" t="n">
        <v>2</v>
      </c>
      <c r="C276" s="7" t="n">
        <v>36</v>
      </c>
      <c r="D276" s="22" t="s">
        <v>232</v>
      </c>
      <c r="E276" s="4" t="s">
        <v>698</v>
      </c>
      <c r="F276" s="23" t="s">
        <v>699</v>
      </c>
      <c r="G276" s="22" t="s">
        <v>42</v>
      </c>
      <c r="H276" s="3" t="s">
        <v>700</v>
      </c>
      <c r="I276" s="4" t="s">
        <v>539</v>
      </c>
      <c r="J276" s="7" t="n">
        <f aca="false">LEN(E276)-SUMPRODUCT(LEN(E276)-LEN(SUBSTITUTE(E276,{"，","。","？","！","、","…","；","：","《","》"," ","“","”","—","（","）","·"},"")))</f>
        <v>13</v>
      </c>
      <c r="K276" s="23"/>
    </row>
    <row r="277" customFormat="false" ht="21" hidden="false" customHeight="true" outlineLevel="0" collapsed="false">
      <c r="A277" s="7" t="s">
        <v>118</v>
      </c>
      <c r="B277" s="15" t="n">
        <v>2</v>
      </c>
      <c r="C277" s="7" t="n">
        <v>37</v>
      </c>
      <c r="D277" s="22" t="s">
        <v>222</v>
      </c>
      <c r="E277" s="4" t="s">
        <v>701</v>
      </c>
      <c r="F277" s="23" t="s">
        <v>702</v>
      </c>
      <c r="G277" s="22" t="s">
        <v>42</v>
      </c>
      <c r="H277" s="3" t="s">
        <v>703</v>
      </c>
      <c r="I277" s="3"/>
      <c r="J277" s="7" t="n">
        <f aca="false">LEN(E277)-SUMPRODUCT(LEN(E277)-LEN(SUBSTITUTE(E277,{"，","。","？","！","、","…","；","：","《","》"," ","“","”","—","（","）","·"},"")))</f>
        <v>13</v>
      </c>
      <c r="K277" s="23"/>
    </row>
    <row r="278" customFormat="false" ht="21" hidden="false" customHeight="true" outlineLevel="0" collapsed="false">
      <c r="A278" s="7" t="s">
        <v>118</v>
      </c>
      <c r="B278" s="15" t="n">
        <v>2</v>
      </c>
      <c r="C278" s="7" t="n">
        <v>38</v>
      </c>
      <c r="D278" s="22" t="s">
        <v>232</v>
      </c>
      <c r="E278" s="4" t="s">
        <v>704</v>
      </c>
      <c r="F278" s="23"/>
      <c r="G278" s="22" t="s">
        <v>42</v>
      </c>
      <c r="H278" s="3"/>
      <c r="I278" s="4" t="s">
        <v>539</v>
      </c>
      <c r="J278" s="7" t="n">
        <f aca="false">LEN(E278)-SUMPRODUCT(LEN(E278)-LEN(SUBSTITUTE(E278,{"，","。","？","！","、","…","；","：","《","》"," ","“","”","—","（","）","·"},"")))</f>
        <v>13</v>
      </c>
      <c r="K278" s="23"/>
    </row>
    <row r="279" customFormat="false" ht="36" hidden="false" customHeight="true" outlineLevel="0" collapsed="false">
      <c r="A279" s="7" t="s">
        <v>118</v>
      </c>
      <c r="B279" s="15" t="n">
        <v>2</v>
      </c>
      <c r="C279" s="7" t="n">
        <v>39</v>
      </c>
      <c r="D279" s="22" t="s">
        <v>222</v>
      </c>
      <c r="E279" s="4" t="s">
        <v>705</v>
      </c>
      <c r="F279" s="23" t="s">
        <v>706</v>
      </c>
      <c r="G279" s="22" t="s">
        <v>34</v>
      </c>
      <c r="H279" s="3" t="s">
        <v>700</v>
      </c>
      <c r="I279" s="4" t="s">
        <v>707</v>
      </c>
      <c r="J279" s="7" t="n">
        <f aca="false">LEN(E279)-SUMPRODUCT(LEN(E279)-LEN(SUBSTITUTE(E279,{"，","。","？","！","、","…","；","：","《","》"," ","“","”","—","（","）","·"},"")))</f>
        <v>33</v>
      </c>
      <c r="K279" s="23"/>
    </row>
    <row r="280" customFormat="false" ht="21" hidden="false" customHeight="true" outlineLevel="0" collapsed="false">
      <c r="A280" s="7" t="s">
        <v>118</v>
      </c>
      <c r="B280" s="15" t="n">
        <v>2</v>
      </c>
      <c r="C280" s="7" t="n">
        <v>40</v>
      </c>
      <c r="D280" s="22" t="s">
        <v>232</v>
      </c>
      <c r="E280" s="4" t="s">
        <v>708</v>
      </c>
      <c r="F280" s="23" t="s">
        <v>709</v>
      </c>
      <c r="G280" s="22" t="s">
        <v>32</v>
      </c>
      <c r="H280" s="3" t="s">
        <v>687</v>
      </c>
      <c r="I280" s="3"/>
      <c r="J280" s="7" t="n">
        <f aca="false">LEN(E280)-SUMPRODUCT(LEN(E280)-LEN(SUBSTITUTE(E280,{"，","。","？","！","、","…","；","：","《","》"," ","“","”","—","（","）","·"},"")))</f>
        <v>13</v>
      </c>
      <c r="K280" s="23"/>
    </row>
    <row r="281" customFormat="false" ht="36" hidden="false" customHeight="true" outlineLevel="0" collapsed="false">
      <c r="A281" s="7" t="s">
        <v>118</v>
      </c>
      <c r="B281" s="15" t="n">
        <v>2</v>
      </c>
      <c r="C281" s="7" t="n">
        <v>41</v>
      </c>
      <c r="D281" s="22" t="s">
        <v>222</v>
      </c>
      <c r="E281" s="4" t="s">
        <v>710</v>
      </c>
      <c r="F281" s="23"/>
      <c r="G281" s="22" t="s">
        <v>30</v>
      </c>
      <c r="H281" s="3" t="s">
        <v>711</v>
      </c>
      <c r="I281" s="3"/>
      <c r="J281" s="7" t="n">
        <f aca="false">LEN(E281)-SUMPRODUCT(LEN(E281)-LEN(SUBSTITUTE(E281,{"，","。","？","！","、","…","；","：","《","》"," ","“","”","—","（","）","·"},"")))</f>
        <v>17</v>
      </c>
      <c r="K281" s="23"/>
    </row>
    <row r="282" customFormat="false" ht="36" hidden="false" customHeight="true" outlineLevel="0" collapsed="false">
      <c r="A282" s="7" t="s">
        <v>118</v>
      </c>
      <c r="B282" s="15" t="n">
        <v>2</v>
      </c>
      <c r="C282" s="7" t="n">
        <v>42</v>
      </c>
      <c r="D282" s="22" t="s">
        <v>232</v>
      </c>
      <c r="E282" s="4" t="s">
        <v>712</v>
      </c>
      <c r="F282" s="23"/>
      <c r="G282" s="22" t="s">
        <v>30</v>
      </c>
      <c r="H282" s="3"/>
      <c r="I282" s="3"/>
      <c r="J282" s="7" t="n">
        <f aca="false">LEN(E282)-SUMPRODUCT(LEN(E282)-LEN(SUBSTITUTE(E282,{"，","。","？","！","、","…","；","：","《","》"," ","“","”","—","（","）","·"},"")))</f>
        <v>15</v>
      </c>
      <c r="K282" s="23"/>
    </row>
    <row r="283" customFormat="false" ht="21" hidden="false" customHeight="true" outlineLevel="0" collapsed="false">
      <c r="A283" s="7" t="s">
        <v>118</v>
      </c>
      <c r="B283" s="15" t="n">
        <v>2</v>
      </c>
      <c r="C283" s="7" t="n">
        <v>43</v>
      </c>
      <c r="D283" s="22" t="s">
        <v>222</v>
      </c>
      <c r="E283" s="4" t="s">
        <v>713</v>
      </c>
      <c r="F283" s="23"/>
      <c r="G283" s="22" t="s">
        <v>42</v>
      </c>
      <c r="H283" s="3"/>
      <c r="I283" s="4" t="s">
        <v>539</v>
      </c>
      <c r="J283" s="7" t="n">
        <f aca="false">LEN(E283)-SUMPRODUCT(LEN(E283)-LEN(SUBSTITUTE(E283,{"，","。","？","！","、","…","；","：","《","》"," ","“","”","—","（","）","·"},"")))</f>
        <v>11</v>
      </c>
      <c r="K283" s="23"/>
    </row>
    <row r="284" customFormat="false" ht="36" hidden="false" customHeight="true" outlineLevel="0" collapsed="false">
      <c r="A284" s="7" t="s">
        <v>123</v>
      </c>
      <c r="B284" s="15" t="n">
        <v>3</v>
      </c>
      <c r="C284" s="7" t="n">
        <v>1</v>
      </c>
      <c r="D284" s="22" t="s">
        <v>219</v>
      </c>
      <c r="E284" s="4" t="s">
        <v>714</v>
      </c>
      <c r="F284" s="23" t="s">
        <v>715</v>
      </c>
      <c r="G284" s="22" t="s">
        <v>40</v>
      </c>
      <c r="H284" s="3"/>
      <c r="I284" s="3"/>
      <c r="J284" s="7" t="n">
        <f aca="false">LEN(E284)-SUMPRODUCT(LEN(E284)-LEN(SUBSTITUTE(E284,{"，","。","？","！","、","…","；","：","《","》"," ","“","”","—","（","）","·"},"")))</f>
        <v>21</v>
      </c>
      <c r="K284" s="23"/>
    </row>
    <row r="285" customFormat="false" ht="21" hidden="false" customHeight="true" outlineLevel="0" collapsed="false">
      <c r="A285" s="7" t="s">
        <v>123</v>
      </c>
      <c r="B285" s="15" t="n">
        <v>3</v>
      </c>
      <c r="C285" s="7" t="n">
        <v>2</v>
      </c>
      <c r="D285" s="22" t="s">
        <v>716</v>
      </c>
      <c r="E285" s="4" t="s">
        <v>717</v>
      </c>
      <c r="F285" s="23" t="s">
        <v>718</v>
      </c>
      <c r="G285" s="22" t="s">
        <v>42</v>
      </c>
      <c r="H285" s="3"/>
      <c r="I285" s="3"/>
      <c r="J285" s="7" t="n">
        <f aca="false">LEN(E285)-SUMPRODUCT(LEN(E285)-LEN(SUBSTITUTE(E285,{"，","。","？","！","、","…","；","：","《","》"," ","“","”","—","（","）","·"},"")))</f>
        <v>8</v>
      </c>
      <c r="K285" s="23"/>
    </row>
    <row r="286" customFormat="false" ht="36" hidden="false" customHeight="true" outlineLevel="0" collapsed="false">
      <c r="A286" s="7" t="s">
        <v>123</v>
      </c>
      <c r="B286" s="15" t="n">
        <v>3</v>
      </c>
      <c r="C286" s="7" t="n">
        <v>3</v>
      </c>
      <c r="D286" s="22" t="s">
        <v>219</v>
      </c>
      <c r="E286" s="4" t="s">
        <v>719</v>
      </c>
      <c r="F286" s="23"/>
      <c r="G286" s="22" t="s">
        <v>34</v>
      </c>
      <c r="H286" s="3"/>
      <c r="I286" s="4" t="s">
        <v>720</v>
      </c>
      <c r="J286" s="7" t="n">
        <f aca="false">LEN(E286)-SUMPRODUCT(LEN(E286)-LEN(SUBSTITUTE(E286,{"，","。","？","！","、","…","；","：","《","》"," ","“","”","—","（","）","·"},"")))</f>
        <v>27</v>
      </c>
      <c r="K286" s="23"/>
    </row>
    <row r="287" customFormat="false" ht="36" hidden="false" customHeight="true" outlineLevel="0" collapsed="false">
      <c r="A287" s="7" t="s">
        <v>123</v>
      </c>
      <c r="B287" s="15" t="n">
        <v>3</v>
      </c>
      <c r="C287" s="7" t="n">
        <v>4</v>
      </c>
      <c r="D287" s="22" t="s">
        <v>222</v>
      </c>
      <c r="E287" s="4" t="s">
        <v>721</v>
      </c>
      <c r="F287" s="23" t="s">
        <v>722</v>
      </c>
      <c r="G287" s="22" t="s">
        <v>34</v>
      </c>
      <c r="H287" s="3"/>
      <c r="I287" s="3"/>
      <c r="J287" s="7" t="n">
        <f aca="false">LEN(E287)-SUMPRODUCT(LEN(E287)-LEN(SUBSTITUTE(E287,{"，","。","？","！","、","…","；","：","《","》"," ","“","”","—","（","）","·"},"")))</f>
        <v>4</v>
      </c>
      <c r="K287" s="23"/>
    </row>
    <row r="288" customFormat="false" ht="36" hidden="false" customHeight="true" outlineLevel="0" collapsed="false">
      <c r="A288" s="7" t="s">
        <v>123</v>
      </c>
      <c r="B288" s="15" t="n">
        <v>3</v>
      </c>
      <c r="C288" s="7" t="n">
        <v>5</v>
      </c>
      <c r="D288" s="22" t="s">
        <v>232</v>
      </c>
      <c r="E288" s="4" t="s">
        <v>723</v>
      </c>
      <c r="F288" s="23" t="s">
        <v>234</v>
      </c>
      <c r="G288" s="22" t="s">
        <v>34</v>
      </c>
      <c r="H288" s="3"/>
      <c r="I288" s="3"/>
      <c r="J288" s="7" t="n">
        <f aca="false">LEN(E288)-SUMPRODUCT(LEN(E288)-LEN(SUBSTITUTE(E288,{"，","。","？","！","、","…","；","：","《","》"," ","“","”","—","（","）","·"},"")))</f>
        <v>7</v>
      </c>
      <c r="K288" s="23"/>
    </row>
    <row r="289" customFormat="false" ht="96" hidden="false" customHeight="true" outlineLevel="0" collapsed="false">
      <c r="A289" s="7" t="s">
        <v>123</v>
      </c>
      <c r="B289" s="15" t="n">
        <v>3</v>
      </c>
      <c r="C289" s="7" t="n">
        <v>6</v>
      </c>
      <c r="D289" s="22" t="s">
        <v>219</v>
      </c>
      <c r="E289" s="4" t="s">
        <v>724</v>
      </c>
      <c r="F289" s="23" t="s">
        <v>725</v>
      </c>
      <c r="G289" s="22" t="s">
        <v>34</v>
      </c>
      <c r="H289" s="3"/>
      <c r="I289" s="4" t="s">
        <v>726</v>
      </c>
      <c r="J289" s="7" t="n">
        <f aca="false">LEN(E289)-SUMPRODUCT(LEN(E289)-LEN(SUBSTITUTE(E289,{"，","。","？","！","、","…","；","：","《","》"," ","“","”","—","（","）","·"},"")))</f>
        <v>113</v>
      </c>
      <c r="K289" s="23"/>
    </row>
    <row r="290" customFormat="false" ht="36" hidden="false" customHeight="true" outlineLevel="0" collapsed="false">
      <c r="A290" s="7" t="s">
        <v>123</v>
      </c>
      <c r="B290" s="15" t="n">
        <v>3</v>
      </c>
      <c r="C290" s="7" t="n">
        <v>7</v>
      </c>
      <c r="D290" s="22" t="s">
        <v>481</v>
      </c>
      <c r="E290" s="4" t="s">
        <v>727</v>
      </c>
      <c r="F290" s="23" t="s">
        <v>234</v>
      </c>
      <c r="G290" s="22" t="s">
        <v>34</v>
      </c>
      <c r="H290" s="3"/>
      <c r="I290" s="4" t="s">
        <v>728</v>
      </c>
      <c r="J290" s="7" t="n">
        <f aca="false">LEN(E290)-SUMPRODUCT(LEN(E290)-LEN(SUBSTITUTE(E290,{"，","。","？","！","、","…","；","：","《","》"," ","“","”","—","（","）","·"},"")))</f>
        <v>13</v>
      </c>
      <c r="K290" s="23"/>
    </row>
    <row r="291" customFormat="false" ht="36" hidden="false" customHeight="true" outlineLevel="0" collapsed="false">
      <c r="A291" s="7" t="s">
        <v>123</v>
      </c>
      <c r="B291" s="15" t="n">
        <v>3</v>
      </c>
      <c r="C291" s="7" t="n">
        <v>8</v>
      </c>
      <c r="D291" s="22" t="s">
        <v>716</v>
      </c>
      <c r="E291" s="4" t="s">
        <v>729</v>
      </c>
      <c r="F291" s="23"/>
      <c r="G291" s="22" t="s">
        <v>30</v>
      </c>
      <c r="H291" s="3"/>
      <c r="I291" s="3"/>
      <c r="J291" s="7" t="n">
        <f aca="false">LEN(E291)-SUMPRODUCT(LEN(E291)-LEN(SUBSTITUTE(E291,{"，","。","？","！","、","…","；","：","《","》"," ","“","”","—","（","）","·"},"")))</f>
        <v>11</v>
      </c>
      <c r="K291" s="23"/>
    </row>
    <row r="292" customFormat="false" ht="36" hidden="false" customHeight="true" outlineLevel="0" collapsed="false">
      <c r="A292" s="7" t="s">
        <v>123</v>
      </c>
      <c r="B292" s="15" t="n">
        <v>3</v>
      </c>
      <c r="C292" s="7" t="n">
        <v>9</v>
      </c>
      <c r="D292" s="22" t="s">
        <v>219</v>
      </c>
      <c r="E292" s="4" t="s">
        <v>730</v>
      </c>
      <c r="F292" s="23"/>
      <c r="G292" s="22" t="s">
        <v>30</v>
      </c>
      <c r="H292" s="3"/>
      <c r="I292" s="3"/>
      <c r="J292" s="7" t="n">
        <f aca="false">LEN(E292)-SUMPRODUCT(LEN(E292)-LEN(SUBSTITUTE(E292,{"，","。","？","！","、","…","；","：","《","》"," ","“","”","—","（","）","·"},"")))</f>
        <v>15</v>
      </c>
      <c r="K292" s="23"/>
    </row>
    <row r="293" customFormat="false" ht="36" hidden="false" customHeight="true" outlineLevel="0" collapsed="false">
      <c r="A293" s="7" t="s">
        <v>123</v>
      </c>
      <c r="B293" s="15" t="n">
        <v>3</v>
      </c>
      <c r="C293" s="7" t="n">
        <v>10</v>
      </c>
      <c r="D293" s="22" t="s">
        <v>222</v>
      </c>
      <c r="E293" s="4" t="s">
        <v>731</v>
      </c>
      <c r="F293" s="23" t="s">
        <v>722</v>
      </c>
      <c r="G293" s="22" t="s">
        <v>34</v>
      </c>
      <c r="H293" s="3"/>
      <c r="I293" s="4" t="s">
        <v>732</v>
      </c>
      <c r="J293" s="7" t="n">
        <f aca="false">LEN(E293)-SUMPRODUCT(LEN(E293)-LEN(SUBSTITUTE(E293,{"，","。","？","！","、","…","；","：","《","》"," ","“","”","—","（","）","·"},"")))</f>
        <v>11</v>
      </c>
      <c r="K293" s="23"/>
    </row>
    <row r="294" customFormat="false" ht="36" hidden="false" customHeight="true" outlineLevel="0" collapsed="false">
      <c r="A294" s="7" t="s">
        <v>123</v>
      </c>
      <c r="B294" s="15" t="n">
        <v>3</v>
      </c>
      <c r="C294" s="7" t="n">
        <v>11</v>
      </c>
      <c r="D294" s="22" t="s">
        <v>232</v>
      </c>
      <c r="E294" s="4" t="s">
        <v>733</v>
      </c>
      <c r="F294" s="23" t="s">
        <v>234</v>
      </c>
      <c r="G294" s="22" t="s">
        <v>34</v>
      </c>
      <c r="H294" s="3"/>
      <c r="I294" s="4" t="s">
        <v>732</v>
      </c>
      <c r="J294" s="7" t="n">
        <f aca="false">LEN(E294)-SUMPRODUCT(LEN(E294)-LEN(SUBSTITUTE(E294,{"，","。","？","！","、","…","；","：","《","》"," ","“","”","—","（","）","·"},"")))</f>
        <v>13</v>
      </c>
      <c r="K294" s="23"/>
    </row>
    <row r="295" customFormat="false" ht="36" hidden="false" customHeight="true" outlineLevel="0" collapsed="false">
      <c r="A295" s="7" t="s">
        <v>123</v>
      </c>
      <c r="B295" s="15" t="n">
        <v>3</v>
      </c>
      <c r="C295" s="7" t="n">
        <v>12</v>
      </c>
      <c r="D295" s="22" t="s">
        <v>219</v>
      </c>
      <c r="E295" s="4" t="s">
        <v>734</v>
      </c>
      <c r="F295" s="23"/>
      <c r="G295" s="22" t="s">
        <v>34</v>
      </c>
      <c r="H295" s="3"/>
      <c r="I295" s="3"/>
      <c r="J295" s="7" t="n">
        <f aca="false">LEN(E295)-SUMPRODUCT(LEN(E295)-LEN(SUBSTITUTE(E295,{"，","。","？","！","、","…","；","：","《","》"," ","“","”","—","（","）","·"},"")))</f>
        <v>15</v>
      </c>
      <c r="K295" s="23"/>
    </row>
    <row r="296" customFormat="false" ht="36" hidden="false" customHeight="true" outlineLevel="0" collapsed="false">
      <c r="A296" s="7" t="s">
        <v>123</v>
      </c>
      <c r="B296" s="15" t="n">
        <v>3</v>
      </c>
      <c r="C296" s="7" t="n">
        <v>13</v>
      </c>
      <c r="D296" s="22" t="s">
        <v>481</v>
      </c>
      <c r="E296" s="4" t="s">
        <v>735</v>
      </c>
      <c r="F296" s="23" t="s">
        <v>722</v>
      </c>
      <c r="G296" s="22" t="s">
        <v>34</v>
      </c>
      <c r="H296" s="3"/>
      <c r="I296" s="3"/>
      <c r="J296" s="7" t="n">
        <f aca="false">LEN(E296)-SUMPRODUCT(LEN(E296)-LEN(SUBSTITUTE(E296,{"，","。","？","！","、","…","；","：","《","》"," ","“","”","—","（","）","·"},"")))</f>
        <v>23</v>
      </c>
      <c r="K296" s="23"/>
    </row>
    <row r="297" customFormat="false" ht="21" hidden="false" customHeight="true" outlineLevel="0" collapsed="false">
      <c r="A297" s="7" t="s">
        <v>123</v>
      </c>
      <c r="B297" s="15" t="n">
        <v>3</v>
      </c>
      <c r="C297" s="7" t="n">
        <v>14</v>
      </c>
      <c r="D297" s="22" t="s">
        <v>716</v>
      </c>
      <c r="E297" s="4" t="s">
        <v>736</v>
      </c>
      <c r="F297" s="23"/>
      <c r="G297" s="22" t="s">
        <v>42</v>
      </c>
      <c r="H297" s="3"/>
      <c r="I297" s="3"/>
      <c r="J297" s="7" t="n">
        <f aca="false">LEN(E297)-SUMPRODUCT(LEN(E297)-LEN(SUBSTITUTE(E297,{"，","。","？","！","、","…","；","：","《","》"," ","“","”","—","（","）","·"},"")))</f>
        <v>13</v>
      </c>
      <c r="K297" s="23"/>
    </row>
    <row r="298" customFormat="false" ht="36" hidden="false" customHeight="true" outlineLevel="0" collapsed="false">
      <c r="A298" s="7" t="s">
        <v>123</v>
      </c>
      <c r="B298" s="15" t="n">
        <v>3</v>
      </c>
      <c r="C298" s="7" t="n">
        <v>15</v>
      </c>
      <c r="D298" s="22" t="s">
        <v>219</v>
      </c>
      <c r="E298" s="4" t="s">
        <v>737</v>
      </c>
      <c r="F298" s="23"/>
      <c r="G298" s="22" t="s">
        <v>34</v>
      </c>
      <c r="H298" s="3"/>
      <c r="I298" s="3"/>
      <c r="J298" s="7" t="n">
        <f aca="false">LEN(E298)-SUMPRODUCT(LEN(E298)-LEN(SUBSTITUTE(E298,{"，","。","？","！","、","…","；","：","《","》"," ","“","”","—","（","）","·"},"")))</f>
        <v>12</v>
      </c>
      <c r="K298" s="23"/>
    </row>
    <row r="299" customFormat="false" ht="36" hidden="false" customHeight="true" outlineLevel="0" collapsed="false">
      <c r="A299" s="7" t="s">
        <v>123</v>
      </c>
      <c r="B299" s="15" t="n">
        <v>3</v>
      </c>
      <c r="C299" s="7" t="n">
        <v>16</v>
      </c>
      <c r="D299" s="22" t="s">
        <v>222</v>
      </c>
      <c r="E299" s="4" t="s">
        <v>738</v>
      </c>
      <c r="F299" s="23" t="s">
        <v>234</v>
      </c>
      <c r="G299" s="22" t="s">
        <v>34</v>
      </c>
      <c r="H299" s="3"/>
      <c r="I299" s="3"/>
      <c r="J299" s="7" t="n">
        <f aca="false">LEN(E299)-SUMPRODUCT(LEN(E299)-LEN(SUBSTITUTE(E299,{"，","。","？","！","、","…","；","：","《","》"," ","“","”","—","（","）","·"},"")))</f>
        <v>8</v>
      </c>
      <c r="K299" s="23"/>
    </row>
    <row r="300" customFormat="false" ht="36" hidden="false" customHeight="true" outlineLevel="0" collapsed="false">
      <c r="A300" s="7" t="s">
        <v>123</v>
      </c>
      <c r="B300" s="15" t="n">
        <v>3</v>
      </c>
      <c r="C300" s="7" t="n">
        <v>17</v>
      </c>
      <c r="D300" s="22" t="s">
        <v>232</v>
      </c>
      <c r="E300" s="4" t="s">
        <v>739</v>
      </c>
      <c r="F300" s="23"/>
      <c r="G300" s="22" t="s">
        <v>34</v>
      </c>
      <c r="H300" s="3"/>
      <c r="I300" s="3"/>
      <c r="J300" s="7" t="n">
        <f aca="false">LEN(E300)-SUMPRODUCT(LEN(E300)-LEN(SUBSTITUTE(E300,{"，","。","？","！","、","…","；","：","《","》"," ","“","”","—","（","）","·"},"")))</f>
        <v>9</v>
      </c>
      <c r="K300" s="23"/>
    </row>
    <row r="301" customFormat="false" ht="21" hidden="false" customHeight="true" outlineLevel="0" collapsed="false">
      <c r="A301" s="7" t="s">
        <v>123</v>
      </c>
      <c r="B301" s="15" t="n">
        <v>3</v>
      </c>
      <c r="C301" s="7" t="n">
        <v>18</v>
      </c>
      <c r="D301" s="22" t="s">
        <v>481</v>
      </c>
      <c r="E301" s="4" t="s">
        <v>740</v>
      </c>
      <c r="F301" s="23" t="s">
        <v>741</v>
      </c>
      <c r="G301" s="22" t="s">
        <v>42</v>
      </c>
      <c r="H301" s="3"/>
      <c r="I301" s="4" t="s">
        <v>742</v>
      </c>
      <c r="J301" s="7" t="n">
        <f aca="false">LEN(E301)-SUMPRODUCT(LEN(E301)-LEN(SUBSTITUTE(E301,{"，","。","？","！","、","…","；","：","《","》"," ","“","”","—","（","）","·"},"")))</f>
        <v>16</v>
      </c>
      <c r="K301" s="23"/>
    </row>
    <row r="302" customFormat="false" ht="51" hidden="false" customHeight="true" outlineLevel="0" collapsed="false">
      <c r="A302" s="7" t="s">
        <v>123</v>
      </c>
      <c r="B302" s="15" t="n">
        <v>3</v>
      </c>
      <c r="C302" s="7" t="n">
        <v>19</v>
      </c>
      <c r="D302" s="22" t="s">
        <v>481</v>
      </c>
      <c r="E302" s="4" t="s">
        <v>743</v>
      </c>
      <c r="F302" s="23" t="s">
        <v>744</v>
      </c>
      <c r="G302" s="22" t="s">
        <v>34</v>
      </c>
      <c r="H302" s="4" t="s">
        <v>745</v>
      </c>
      <c r="I302" s="4" t="s">
        <v>746</v>
      </c>
      <c r="J302" s="7" t="n">
        <f aca="false">LEN(E302)-SUMPRODUCT(LEN(E302)-LEN(SUBSTITUTE(E302,{"，","。","？","！","、","…","；","：","《","》"," ","“","”","—","（","）","·"},"")))</f>
        <v>49</v>
      </c>
      <c r="K302" s="23"/>
    </row>
    <row r="303" customFormat="false" ht="36" hidden="false" customHeight="true" outlineLevel="0" collapsed="false">
      <c r="A303" s="7" t="s">
        <v>123</v>
      </c>
      <c r="B303" s="15" t="n">
        <v>3</v>
      </c>
      <c r="C303" s="7" t="n">
        <v>20</v>
      </c>
      <c r="D303" s="22" t="s">
        <v>481</v>
      </c>
      <c r="E303" s="4" t="s">
        <v>747</v>
      </c>
      <c r="F303" s="23"/>
      <c r="G303" s="22" t="s">
        <v>34</v>
      </c>
      <c r="H303" s="3"/>
      <c r="I303" s="4" t="s">
        <v>728</v>
      </c>
      <c r="J303" s="7" t="n">
        <f aca="false">LEN(E303)-SUMPRODUCT(LEN(E303)-LEN(SUBSTITUTE(E303,{"，","。","？","！","、","…","；","：","《","》"," ","“","”","—","（","）","·"},"")))</f>
        <v>10</v>
      </c>
      <c r="K303" s="23"/>
    </row>
    <row r="304" customFormat="false" ht="21" hidden="false" customHeight="true" outlineLevel="0" collapsed="false">
      <c r="A304" s="7" t="s">
        <v>123</v>
      </c>
      <c r="B304" s="15" t="n">
        <v>3</v>
      </c>
      <c r="C304" s="7" t="n">
        <v>21</v>
      </c>
      <c r="D304" s="22" t="s">
        <v>232</v>
      </c>
      <c r="E304" s="4" t="s">
        <v>748</v>
      </c>
      <c r="F304" s="23" t="s">
        <v>749</v>
      </c>
      <c r="G304" s="22" t="s">
        <v>42</v>
      </c>
      <c r="H304" s="3"/>
      <c r="I304" s="3"/>
      <c r="J304" s="7" t="n">
        <f aca="false">LEN(E304)-SUMPRODUCT(LEN(E304)-LEN(SUBSTITUTE(E304,{"，","。","？","！","、","…","；","：","《","》"," ","“","”","—","（","）","·"},"")))</f>
        <v>5</v>
      </c>
      <c r="K304" s="23"/>
    </row>
    <row r="305" customFormat="false" ht="21" hidden="false" customHeight="true" outlineLevel="0" collapsed="false">
      <c r="A305" s="7" t="s">
        <v>123</v>
      </c>
      <c r="B305" s="15" t="n">
        <v>3</v>
      </c>
      <c r="C305" s="7" t="n">
        <v>22</v>
      </c>
      <c r="D305" s="22" t="s">
        <v>222</v>
      </c>
      <c r="E305" s="4" t="s">
        <v>750</v>
      </c>
      <c r="F305" s="23" t="s">
        <v>234</v>
      </c>
      <c r="G305" s="22" t="s">
        <v>42</v>
      </c>
      <c r="H305" s="3"/>
      <c r="I305" s="3"/>
      <c r="J305" s="7" t="n">
        <f aca="false">LEN(E305)-SUMPRODUCT(LEN(E305)-LEN(SUBSTITUTE(E305,{"，","。","？","！","、","…","；","：","《","》"," ","“","”","—","（","）","·"},"")))</f>
        <v>3</v>
      </c>
      <c r="K305" s="23"/>
    </row>
    <row r="306" customFormat="false" ht="36" hidden="false" customHeight="true" outlineLevel="0" collapsed="false">
      <c r="A306" s="7" t="s">
        <v>123</v>
      </c>
      <c r="B306" s="15" t="n">
        <v>3</v>
      </c>
      <c r="C306" s="7" t="n">
        <v>23</v>
      </c>
      <c r="D306" s="22" t="s">
        <v>219</v>
      </c>
      <c r="E306" s="4" t="s">
        <v>751</v>
      </c>
      <c r="F306" s="23"/>
      <c r="G306" s="22" t="s">
        <v>34</v>
      </c>
      <c r="H306" s="3"/>
      <c r="I306" s="4" t="s">
        <v>742</v>
      </c>
      <c r="J306" s="7" t="n">
        <f aca="false">LEN(E306)-SUMPRODUCT(LEN(E306)-LEN(SUBSTITUTE(E306,{"，","。","？","！","、","…","；","：","《","》"," ","“","”","—","（","）","·"},"")))</f>
        <v>18</v>
      </c>
      <c r="K306" s="23"/>
    </row>
    <row r="307" customFormat="false" ht="36" hidden="false" customHeight="true" outlineLevel="0" collapsed="false">
      <c r="A307" s="7" t="s">
        <v>123</v>
      </c>
      <c r="B307" s="15" t="n">
        <v>3</v>
      </c>
      <c r="C307" s="7" t="n">
        <v>24</v>
      </c>
      <c r="D307" s="22" t="s">
        <v>716</v>
      </c>
      <c r="E307" s="4" t="s">
        <v>752</v>
      </c>
      <c r="F307" s="23" t="s">
        <v>722</v>
      </c>
      <c r="G307" s="22" t="s">
        <v>34</v>
      </c>
      <c r="H307" s="3"/>
      <c r="I307" s="3"/>
      <c r="J307" s="7" t="n">
        <f aca="false">LEN(E307)-SUMPRODUCT(LEN(E307)-LEN(SUBSTITUTE(E307,{"，","。","？","！","、","…","；","：","《","》"," ","“","”","—","（","）","·"},"")))</f>
        <v>11</v>
      </c>
      <c r="K307" s="23"/>
    </row>
    <row r="308" customFormat="false" ht="36" hidden="false" customHeight="true" outlineLevel="0" collapsed="false">
      <c r="A308" s="7" t="s">
        <v>123</v>
      </c>
      <c r="B308" s="15" t="n">
        <v>3</v>
      </c>
      <c r="C308" s="7" t="n">
        <v>25</v>
      </c>
      <c r="D308" s="22" t="s">
        <v>481</v>
      </c>
      <c r="E308" s="4" t="s">
        <v>753</v>
      </c>
      <c r="F308" s="23"/>
      <c r="G308" s="22" t="s">
        <v>36</v>
      </c>
      <c r="H308" s="3"/>
      <c r="I308" s="3"/>
      <c r="J308" s="7" t="n">
        <f aca="false">LEN(E308)-SUMPRODUCT(LEN(E308)-LEN(SUBSTITUTE(E308,{"，","。","？","！","、","…","；","：","《","》"," ","“","”","—","（","）","·"},"")))</f>
        <v>14</v>
      </c>
      <c r="K308" s="23"/>
    </row>
    <row r="309" customFormat="false" ht="36" hidden="false" customHeight="true" outlineLevel="0" collapsed="false">
      <c r="A309" s="7" t="s">
        <v>123</v>
      </c>
      <c r="B309" s="15" t="n">
        <v>3</v>
      </c>
      <c r="C309" s="7" t="n">
        <v>26</v>
      </c>
      <c r="D309" s="22" t="s">
        <v>219</v>
      </c>
      <c r="E309" s="4" t="s">
        <v>754</v>
      </c>
      <c r="F309" s="23"/>
      <c r="G309" s="22" t="s">
        <v>36</v>
      </c>
      <c r="H309" s="3"/>
      <c r="I309" s="3"/>
      <c r="J309" s="7" t="n">
        <f aca="false">LEN(E309)-SUMPRODUCT(LEN(E309)-LEN(SUBSTITUTE(E309,{"，","。","？","！","、","…","；","：","《","》"," ","“","”","—","（","）","·"},"")))</f>
        <v>12</v>
      </c>
      <c r="K309" s="23"/>
    </row>
    <row r="310" customFormat="false" ht="36" hidden="false" customHeight="true" outlineLevel="0" collapsed="false">
      <c r="A310" s="7" t="s">
        <v>123</v>
      </c>
      <c r="B310" s="15" t="n">
        <v>3</v>
      </c>
      <c r="C310" s="7" t="n">
        <v>27</v>
      </c>
      <c r="D310" s="22" t="s">
        <v>222</v>
      </c>
      <c r="E310" s="4" t="s">
        <v>755</v>
      </c>
      <c r="F310" s="23"/>
      <c r="G310" s="22" t="s">
        <v>36</v>
      </c>
      <c r="H310" s="3"/>
      <c r="I310" s="3"/>
      <c r="J310" s="7" t="n">
        <f aca="false">LEN(E310)-SUMPRODUCT(LEN(E310)-LEN(SUBSTITUTE(E310,{"，","。","？","！","、","…","；","：","《","》"," ","“","”","—","（","）","·"},"")))</f>
        <v>9</v>
      </c>
      <c r="K310" s="23"/>
    </row>
    <row r="311" customFormat="false" ht="36" hidden="false" customHeight="true" outlineLevel="0" collapsed="false">
      <c r="A311" s="7" t="s">
        <v>123</v>
      </c>
      <c r="B311" s="15" t="n">
        <v>3</v>
      </c>
      <c r="C311" s="7" t="n">
        <v>28</v>
      </c>
      <c r="D311" s="22" t="s">
        <v>232</v>
      </c>
      <c r="E311" s="4" t="s">
        <v>756</v>
      </c>
      <c r="F311" s="23" t="s">
        <v>234</v>
      </c>
      <c r="G311" s="22" t="s">
        <v>36</v>
      </c>
      <c r="H311" s="3"/>
      <c r="I311" s="3"/>
      <c r="J311" s="7" t="n">
        <f aca="false">LEN(E311)-SUMPRODUCT(LEN(E311)-LEN(SUBSTITUTE(E311,{"，","。","？","！","、","…","；","：","《","》"," ","“","”","—","（","）","·"},"")))</f>
        <v>8</v>
      </c>
      <c r="K311" s="23"/>
    </row>
    <row r="312" customFormat="false" ht="36" hidden="false" customHeight="true" outlineLevel="0" collapsed="false">
      <c r="A312" s="7" t="s">
        <v>123</v>
      </c>
      <c r="B312" s="15" t="n">
        <v>3</v>
      </c>
      <c r="C312" s="7" t="n">
        <v>29</v>
      </c>
      <c r="D312" s="22" t="s">
        <v>219</v>
      </c>
      <c r="E312" s="4" t="s">
        <v>757</v>
      </c>
      <c r="F312" s="23" t="s">
        <v>282</v>
      </c>
      <c r="G312" s="22" t="s">
        <v>34</v>
      </c>
      <c r="H312" s="3"/>
      <c r="I312" s="3"/>
      <c r="J312" s="7" t="n">
        <f aca="false">LEN(E312)-SUMPRODUCT(LEN(E312)-LEN(SUBSTITUTE(E312,{"，","。","？","！","、","…","；","：","《","》"," ","“","”","—","（","）","·"},"")))</f>
        <v>25</v>
      </c>
      <c r="K312" s="23"/>
    </row>
    <row r="313" customFormat="false" ht="36" hidden="false" customHeight="true" outlineLevel="0" collapsed="false">
      <c r="A313" s="7" t="s">
        <v>123</v>
      </c>
      <c r="B313" s="15" t="n">
        <v>3</v>
      </c>
      <c r="C313" s="7" t="n">
        <v>30</v>
      </c>
      <c r="D313" s="22" t="s">
        <v>716</v>
      </c>
      <c r="E313" s="4" t="s">
        <v>758</v>
      </c>
      <c r="F313" s="23"/>
      <c r="G313" s="22" t="s">
        <v>36</v>
      </c>
      <c r="H313" s="3"/>
      <c r="I313" s="3"/>
      <c r="J313" s="7" t="n">
        <f aca="false">LEN(E313)-SUMPRODUCT(LEN(E313)-LEN(SUBSTITUTE(E313,{"，","。","？","！","、","…","；","：","《","》"," ","“","”","—","（","）","·"},"")))</f>
        <v>8</v>
      </c>
      <c r="K313" s="23"/>
    </row>
    <row r="314" customFormat="false" ht="36" hidden="false" customHeight="true" outlineLevel="0" collapsed="false">
      <c r="A314" s="7" t="s">
        <v>123</v>
      </c>
      <c r="B314" s="15" t="n">
        <v>3</v>
      </c>
      <c r="C314" s="7" t="n">
        <v>31</v>
      </c>
      <c r="D314" s="22" t="s">
        <v>481</v>
      </c>
      <c r="E314" s="4" t="s">
        <v>759</v>
      </c>
      <c r="F314" s="23" t="s">
        <v>234</v>
      </c>
      <c r="G314" s="22" t="s">
        <v>36</v>
      </c>
      <c r="H314" s="3"/>
      <c r="I314" s="3"/>
      <c r="J314" s="7" t="n">
        <f aca="false">LEN(E314)-SUMPRODUCT(LEN(E314)-LEN(SUBSTITUTE(E314,{"，","。","？","！","、","…","；","：","《","》"," ","“","”","—","（","）","·"},"")))</f>
        <v>14</v>
      </c>
      <c r="K314" s="23"/>
    </row>
    <row r="315" customFormat="false" ht="36" hidden="false" customHeight="true" outlineLevel="0" collapsed="false">
      <c r="A315" s="7" t="s">
        <v>123</v>
      </c>
      <c r="B315" s="15" t="n">
        <v>3</v>
      </c>
      <c r="C315" s="7" t="n">
        <v>32</v>
      </c>
      <c r="D315" s="22" t="s">
        <v>219</v>
      </c>
      <c r="E315" s="4" t="s">
        <v>760</v>
      </c>
      <c r="F315" s="23"/>
      <c r="G315" s="22" t="s">
        <v>36</v>
      </c>
      <c r="H315" s="3"/>
      <c r="I315" s="3"/>
      <c r="J315" s="7" t="n">
        <f aca="false">LEN(E315)-SUMPRODUCT(LEN(E315)-LEN(SUBSTITUTE(E315,{"，","。","？","！","、","…","；","：","《","》"," ","“","”","—","（","）","·"},"")))</f>
        <v>12</v>
      </c>
      <c r="K315" s="23"/>
    </row>
    <row r="316" customFormat="false" ht="36" hidden="false" customHeight="true" outlineLevel="0" collapsed="false">
      <c r="A316" s="7" t="s">
        <v>123</v>
      </c>
      <c r="B316" s="15" t="n">
        <v>3</v>
      </c>
      <c r="C316" s="7" t="n">
        <v>33</v>
      </c>
      <c r="D316" s="22" t="s">
        <v>219</v>
      </c>
      <c r="E316" s="4" t="s">
        <v>761</v>
      </c>
      <c r="F316" s="23"/>
      <c r="G316" s="22" t="s">
        <v>38</v>
      </c>
      <c r="H316" s="3"/>
      <c r="I316" s="4" t="s">
        <v>762</v>
      </c>
      <c r="J316" s="7" t="n">
        <f aca="false">LEN(E316)-SUMPRODUCT(LEN(E316)-LEN(SUBSTITUTE(E316,{"，","。","？","！","、","…","；","：","《","》"," ","“","”","—","（","）","·"},"")))</f>
        <v>40</v>
      </c>
      <c r="K316" s="23"/>
    </row>
    <row r="317" customFormat="false" ht="36" hidden="false" customHeight="true" outlineLevel="0" collapsed="false">
      <c r="A317" s="7" t="s">
        <v>123</v>
      </c>
      <c r="B317" s="15" t="n">
        <v>3</v>
      </c>
      <c r="C317" s="7" t="n">
        <v>34</v>
      </c>
      <c r="D317" s="22" t="s">
        <v>222</v>
      </c>
      <c r="E317" s="4" t="s">
        <v>763</v>
      </c>
      <c r="F317" s="23" t="s">
        <v>234</v>
      </c>
      <c r="G317" s="22" t="s">
        <v>36</v>
      </c>
      <c r="H317" s="3"/>
      <c r="I317" s="3"/>
      <c r="J317" s="7" t="n">
        <f aca="false">LEN(E317)-SUMPRODUCT(LEN(E317)-LEN(SUBSTITUTE(E317,{"，","。","？","！","、","…","；","：","《","》"," ","“","”","—","（","）","·"},"")))</f>
        <v>8</v>
      </c>
      <c r="K317" s="23"/>
    </row>
    <row r="318" customFormat="false" ht="36" hidden="false" customHeight="true" outlineLevel="0" collapsed="false">
      <c r="A318" s="7" t="s">
        <v>123</v>
      </c>
      <c r="B318" s="15" t="n">
        <v>3</v>
      </c>
      <c r="C318" s="7" t="n">
        <v>35</v>
      </c>
      <c r="D318" s="22" t="s">
        <v>232</v>
      </c>
      <c r="E318" s="4" t="s">
        <v>764</v>
      </c>
      <c r="F318" s="23" t="s">
        <v>234</v>
      </c>
      <c r="G318" s="22" t="s">
        <v>36</v>
      </c>
      <c r="H318" s="3"/>
      <c r="I318" s="3"/>
      <c r="J318" s="7" t="n">
        <f aca="false">LEN(E318)-SUMPRODUCT(LEN(E318)-LEN(SUBSTITUTE(E318,{"，","。","？","！","、","…","；","：","《","》"," ","“","”","—","（","）","·"},"")))</f>
        <v>10</v>
      </c>
      <c r="K318" s="23"/>
    </row>
    <row r="319" customFormat="false" ht="36" hidden="false" customHeight="true" outlineLevel="0" collapsed="false">
      <c r="A319" s="7" t="s">
        <v>123</v>
      </c>
      <c r="B319" s="15" t="n">
        <v>3</v>
      </c>
      <c r="C319" s="7" t="n">
        <v>36</v>
      </c>
      <c r="D319" s="22" t="s">
        <v>481</v>
      </c>
      <c r="E319" s="4" t="s">
        <v>765</v>
      </c>
      <c r="F319" s="23"/>
      <c r="G319" s="22" t="s">
        <v>32</v>
      </c>
      <c r="H319" s="3" t="s">
        <v>580</v>
      </c>
      <c r="I319" s="4" t="s">
        <v>766</v>
      </c>
      <c r="J319" s="7" t="n">
        <f aca="false">LEN(E319)-SUMPRODUCT(LEN(E319)-LEN(SUBSTITUTE(E319,{"，","。","？","！","、","…","；","：","《","》"," ","“","”","—","（","）","·"},"")))</f>
        <v>25</v>
      </c>
      <c r="K319" s="23"/>
    </row>
    <row r="320" customFormat="false" ht="21" hidden="false" customHeight="true" outlineLevel="0" collapsed="false">
      <c r="A320" s="7" t="s">
        <v>123</v>
      </c>
      <c r="B320" s="15" t="n">
        <v>3</v>
      </c>
      <c r="C320" s="7" t="n">
        <v>37</v>
      </c>
      <c r="D320" s="22" t="s">
        <v>219</v>
      </c>
      <c r="E320" s="4" t="s">
        <v>767</v>
      </c>
      <c r="F320" s="23"/>
      <c r="G320" s="22" t="s">
        <v>32</v>
      </c>
      <c r="H320" s="3"/>
      <c r="I320" s="3"/>
      <c r="J320" s="7" t="n">
        <f aca="false">LEN(E320)-SUMPRODUCT(LEN(E320)-LEN(SUBSTITUTE(E320,{"，","。","？","！","、","…","；","：","《","》"," ","“","”","—","（","）","·"},"")))</f>
        <v>12</v>
      </c>
      <c r="K320" s="23"/>
    </row>
    <row r="321" customFormat="false" ht="36" hidden="false" customHeight="true" outlineLevel="0" collapsed="false">
      <c r="A321" s="7" t="s">
        <v>123</v>
      </c>
      <c r="B321" s="15" t="n">
        <v>3</v>
      </c>
      <c r="C321" s="7" t="n">
        <v>38</v>
      </c>
      <c r="D321" s="22" t="s">
        <v>716</v>
      </c>
      <c r="E321" s="4" t="s">
        <v>768</v>
      </c>
      <c r="F321" s="23" t="s">
        <v>722</v>
      </c>
      <c r="G321" s="22" t="s">
        <v>34</v>
      </c>
      <c r="H321" s="3"/>
      <c r="I321" s="3"/>
      <c r="J321" s="7" t="n">
        <f aca="false">LEN(E321)-SUMPRODUCT(LEN(E321)-LEN(SUBSTITUTE(E321,{"，","。","？","！","、","…","；","：","《","》"," ","“","”","—","（","）","·"},"")))</f>
        <v>30</v>
      </c>
      <c r="K321" s="23"/>
    </row>
    <row r="322" customFormat="false" ht="36" hidden="false" customHeight="true" outlineLevel="0" collapsed="false">
      <c r="A322" s="7" t="s">
        <v>123</v>
      </c>
      <c r="B322" s="15" t="n">
        <v>3</v>
      </c>
      <c r="C322" s="7" t="n">
        <v>39</v>
      </c>
      <c r="D322" s="22" t="s">
        <v>222</v>
      </c>
      <c r="E322" s="4" t="s">
        <v>769</v>
      </c>
      <c r="F322" s="23" t="s">
        <v>770</v>
      </c>
      <c r="G322" s="22" t="s">
        <v>34</v>
      </c>
      <c r="H322" s="3"/>
      <c r="I322" s="3"/>
      <c r="J322" s="7" t="n">
        <f aca="false">LEN(E322)-SUMPRODUCT(LEN(E322)-LEN(SUBSTITUTE(E322,{"，","。","？","！","、","…","；","：","《","》"," ","“","”","—","（","）","·"},"")))</f>
        <v>6</v>
      </c>
      <c r="K322" s="23"/>
    </row>
    <row r="323" customFormat="false" ht="36" hidden="false" customHeight="true" outlineLevel="0" collapsed="false">
      <c r="A323" s="7" t="s">
        <v>123</v>
      </c>
      <c r="B323" s="15" t="n">
        <v>3</v>
      </c>
      <c r="C323" s="7" t="n">
        <v>40</v>
      </c>
      <c r="D323" s="22" t="s">
        <v>219</v>
      </c>
      <c r="E323" s="4" t="s">
        <v>771</v>
      </c>
      <c r="F323" s="23"/>
      <c r="G323" s="22" t="s">
        <v>34</v>
      </c>
      <c r="H323" s="3"/>
      <c r="I323" s="3"/>
      <c r="J323" s="7" t="n">
        <f aca="false">LEN(E323)-SUMPRODUCT(LEN(E323)-LEN(SUBSTITUTE(E323,{"，","。","？","！","、","…","；","：","《","》"," ","“","”","—","（","）","·"},"")))</f>
        <v>26</v>
      </c>
      <c r="K323" s="23"/>
    </row>
    <row r="324" customFormat="false" ht="36" hidden="false" customHeight="true" outlineLevel="0" collapsed="false">
      <c r="A324" s="7" t="s">
        <v>123</v>
      </c>
      <c r="B324" s="15" t="n">
        <v>3</v>
      </c>
      <c r="C324" s="7" t="n">
        <v>41</v>
      </c>
      <c r="D324" s="22" t="s">
        <v>219</v>
      </c>
      <c r="E324" s="4" t="s">
        <v>772</v>
      </c>
      <c r="F324" s="23" t="s">
        <v>773</v>
      </c>
      <c r="G324" s="22" t="s">
        <v>34</v>
      </c>
      <c r="H324" s="3" t="s">
        <v>774</v>
      </c>
      <c r="I324" s="4" t="s">
        <v>775</v>
      </c>
      <c r="J324" s="7" t="n">
        <f aca="false">LEN(E324)-SUMPRODUCT(LEN(E324)-LEN(SUBSTITUTE(E324,{"，","。","？","！","、","…","；","：","《","》"," ","“","”","—","（","）","·"},"")))</f>
        <v>37</v>
      </c>
      <c r="K324" s="23"/>
    </row>
    <row r="325" customFormat="false" ht="36" hidden="false" customHeight="true" outlineLevel="0" collapsed="false">
      <c r="A325" s="7" t="s">
        <v>123</v>
      </c>
      <c r="B325" s="15" t="n">
        <v>3</v>
      </c>
      <c r="C325" s="7" t="n">
        <v>42</v>
      </c>
      <c r="D325" s="22" t="s">
        <v>222</v>
      </c>
      <c r="E325" s="4" t="s">
        <v>776</v>
      </c>
      <c r="F325" s="23" t="s">
        <v>777</v>
      </c>
      <c r="G325" s="22" t="s">
        <v>36</v>
      </c>
      <c r="H325" s="3"/>
      <c r="I325" s="3"/>
      <c r="J325" s="7" t="n">
        <f aca="false">LEN(E325)-SUMPRODUCT(LEN(E325)-LEN(SUBSTITUTE(E325,{"，","。","？","！","、","…","；","：","《","》"," ","“","”","—","（","）","·"},"")))</f>
        <v>13</v>
      </c>
      <c r="K325" s="23"/>
    </row>
    <row r="326" customFormat="false" ht="36" hidden="false" customHeight="true" outlineLevel="0" collapsed="false">
      <c r="A326" s="7" t="s">
        <v>123</v>
      </c>
      <c r="B326" s="15" t="n">
        <v>3</v>
      </c>
      <c r="C326" s="7" t="n">
        <v>43</v>
      </c>
      <c r="D326" s="22" t="s">
        <v>232</v>
      </c>
      <c r="E326" s="4" t="s">
        <v>778</v>
      </c>
      <c r="F326" s="23" t="s">
        <v>779</v>
      </c>
      <c r="G326" s="22" t="s">
        <v>36</v>
      </c>
      <c r="H326" s="3"/>
      <c r="I326" s="3"/>
      <c r="J326" s="7" t="n">
        <f aca="false">LEN(E326)-SUMPRODUCT(LEN(E326)-LEN(SUBSTITUTE(E326,{"，","。","？","！","、","…","；","：","《","》"," ","“","”","—","（","）","·"},"")))</f>
        <v>8</v>
      </c>
      <c r="K326" s="23"/>
    </row>
    <row r="327" customFormat="false" ht="21" hidden="false" customHeight="true" outlineLevel="0" collapsed="false">
      <c r="A327" s="7" t="s">
        <v>123</v>
      </c>
      <c r="B327" s="15" t="n">
        <v>3</v>
      </c>
      <c r="C327" s="7" t="n">
        <v>44</v>
      </c>
      <c r="D327" s="22" t="s">
        <v>481</v>
      </c>
      <c r="E327" s="4" t="s">
        <v>780</v>
      </c>
      <c r="F327" s="23"/>
      <c r="G327" s="22" t="s">
        <v>42</v>
      </c>
      <c r="H327" s="3"/>
      <c r="I327" s="3"/>
      <c r="J327" s="7" t="n">
        <f aca="false">LEN(E327)-SUMPRODUCT(LEN(E327)-LEN(SUBSTITUTE(E327,{"，","。","？","！","、","…","；","：","《","》"," ","“","”","—","（","）","·"},"")))</f>
        <v>10</v>
      </c>
      <c r="K327" s="23"/>
    </row>
    <row r="328" customFormat="false" ht="36" hidden="false" customHeight="true" outlineLevel="0" collapsed="false">
      <c r="A328" s="7" t="s">
        <v>123</v>
      </c>
      <c r="B328" s="15" t="n">
        <v>3</v>
      </c>
      <c r="C328" s="7" t="n">
        <v>45</v>
      </c>
      <c r="D328" s="22" t="s">
        <v>219</v>
      </c>
      <c r="E328" s="4" t="s">
        <v>781</v>
      </c>
      <c r="F328" s="23" t="s">
        <v>782</v>
      </c>
      <c r="G328" s="22" t="s">
        <v>34</v>
      </c>
      <c r="H328" s="3" t="s">
        <v>783</v>
      </c>
      <c r="I328" s="3"/>
      <c r="J328" s="7" t="n">
        <f aca="false">LEN(E328)-SUMPRODUCT(LEN(E328)-LEN(SUBSTITUTE(E328,{"，","。","？","！","、","…","；","：","《","》"," ","“","”","—","（","）","·"},"")))</f>
        <v>20</v>
      </c>
      <c r="K328" s="23"/>
    </row>
    <row r="329" customFormat="false" ht="36" hidden="false" customHeight="true" outlineLevel="0" collapsed="false">
      <c r="A329" s="7" t="s">
        <v>123</v>
      </c>
      <c r="B329" s="15" t="n">
        <v>3</v>
      </c>
      <c r="C329" s="7" t="n">
        <v>46</v>
      </c>
      <c r="D329" s="22" t="s">
        <v>716</v>
      </c>
      <c r="E329" s="4" t="s">
        <v>784</v>
      </c>
      <c r="F329" s="23"/>
      <c r="G329" s="22" t="s">
        <v>34</v>
      </c>
      <c r="H329" s="3"/>
      <c r="I329" s="4" t="s">
        <v>785</v>
      </c>
      <c r="J329" s="7" t="n">
        <f aca="false">LEN(E329)-SUMPRODUCT(LEN(E329)-LEN(SUBSTITUTE(E329,{"，","。","？","！","、","…","；","：","《","》"," ","“","”","—","（","）","·"},"")))</f>
        <v>10</v>
      </c>
      <c r="K329" s="23"/>
    </row>
    <row r="330" customFormat="false" ht="36" hidden="false" customHeight="true" outlineLevel="0" collapsed="false">
      <c r="A330" s="7" t="s">
        <v>123</v>
      </c>
      <c r="B330" s="15" t="n">
        <v>3</v>
      </c>
      <c r="C330" s="7" t="n">
        <v>47</v>
      </c>
      <c r="D330" s="22" t="s">
        <v>219</v>
      </c>
      <c r="E330" s="4" t="s">
        <v>786</v>
      </c>
      <c r="F330" s="23"/>
      <c r="G330" s="22" t="s">
        <v>34</v>
      </c>
      <c r="H330" s="3" t="s">
        <v>787</v>
      </c>
      <c r="I330" s="4" t="s">
        <v>785</v>
      </c>
      <c r="J330" s="7" t="n">
        <f aca="false">LEN(E330)-SUMPRODUCT(LEN(E330)-LEN(SUBSTITUTE(E330,{"，","。","？","！","、","…","；","：","《","》"," ","“","”","—","（","）","·"},"")))</f>
        <v>34</v>
      </c>
      <c r="K330" s="23"/>
    </row>
    <row r="331" customFormat="false" ht="36" hidden="false" customHeight="true" outlineLevel="0" collapsed="false">
      <c r="A331" s="7" t="s">
        <v>123</v>
      </c>
      <c r="B331" s="15" t="n">
        <v>3</v>
      </c>
      <c r="C331" s="7" t="n">
        <v>48</v>
      </c>
      <c r="D331" s="22" t="s">
        <v>222</v>
      </c>
      <c r="E331" s="4" t="s">
        <v>788</v>
      </c>
      <c r="F331" s="23"/>
      <c r="G331" s="22" t="s">
        <v>30</v>
      </c>
      <c r="H331" s="3"/>
      <c r="I331" s="4" t="s">
        <v>728</v>
      </c>
      <c r="J331" s="7" t="n">
        <f aca="false">LEN(E331)-SUMPRODUCT(LEN(E331)-LEN(SUBSTITUTE(E331,{"，","。","？","！","、","…","；","：","《","》"," ","“","”","—","（","）","·"},"")))</f>
        <v>6</v>
      </c>
      <c r="K331" s="23"/>
    </row>
    <row r="332" customFormat="false" ht="36" hidden="false" customHeight="true" outlineLevel="0" collapsed="false">
      <c r="A332" s="7" t="s">
        <v>123</v>
      </c>
      <c r="B332" s="15" t="n">
        <v>3</v>
      </c>
      <c r="C332" s="7" t="n">
        <v>49</v>
      </c>
      <c r="D332" s="22" t="s">
        <v>219</v>
      </c>
      <c r="E332" s="4" t="s">
        <v>789</v>
      </c>
      <c r="F332" s="23"/>
      <c r="G332" s="22" t="s">
        <v>30</v>
      </c>
      <c r="H332" s="3"/>
      <c r="I332" s="4" t="s">
        <v>728</v>
      </c>
      <c r="J332" s="7" t="n">
        <f aca="false">LEN(E332)-SUMPRODUCT(LEN(E332)-LEN(SUBSTITUTE(E332,{"，","。","？","！","、","…","；","：","《","》"," ","“","”","—","（","）","·"},"")))</f>
        <v>7</v>
      </c>
      <c r="K332" s="23"/>
    </row>
    <row r="333" customFormat="false" ht="36" hidden="false" customHeight="true" outlineLevel="0" collapsed="false">
      <c r="A333" s="7" t="s">
        <v>123</v>
      </c>
      <c r="B333" s="15" t="n">
        <v>3</v>
      </c>
      <c r="C333" s="7" t="n">
        <v>50</v>
      </c>
      <c r="D333" s="22" t="s">
        <v>232</v>
      </c>
      <c r="E333" s="4" t="s">
        <v>790</v>
      </c>
      <c r="F333" s="23" t="s">
        <v>722</v>
      </c>
      <c r="G333" s="22" t="s">
        <v>30</v>
      </c>
      <c r="H333" s="3"/>
      <c r="I333" s="3"/>
      <c r="J333" s="7" t="n">
        <f aca="false">LEN(E333)-SUMPRODUCT(LEN(E333)-LEN(SUBSTITUTE(E333,{"，","。","？","！","、","…","；","：","《","》"," ","“","”","—","（","）","·"},"")))</f>
        <v>4</v>
      </c>
      <c r="K333" s="23"/>
    </row>
    <row r="334" customFormat="false" ht="36" hidden="false" customHeight="true" outlineLevel="0" collapsed="false">
      <c r="A334" s="7" t="s">
        <v>123</v>
      </c>
      <c r="B334" s="15" t="n">
        <v>3</v>
      </c>
      <c r="C334" s="7" t="n">
        <v>51</v>
      </c>
      <c r="D334" s="22" t="s">
        <v>481</v>
      </c>
      <c r="E334" s="4" t="s">
        <v>791</v>
      </c>
      <c r="F334" s="23" t="s">
        <v>770</v>
      </c>
      <c r="G334" s="22" t="s">
        <v>30</v>
      </c>
      <c r="H334" s="3"/>
      <c r="I334" s="3"/>
      <c r="J334" s="7" t="n">
        <f aca="false">LEN(E334)-SUMPRODUCT(LEN(E334)-LEN(SUBSTITUTE(E334,{"，","。","？","！","、","…","；","：","《","》"," ","“","”","—","（","）","·"},"")))</f>
        <v>3</v>
      </c>
      <c r="K334" s="23"/>
    </row>
    <row r="335" customFormat="false" ht="36" hidden="false" customHeight="true" outlineLevel="0" collapsed="false">
      <c r="A335" s="7" t="s">
        <v>123</v>
      </c>
      <c r="B335" s="15" t="n">
        <v>3</v>
      </c>
      <c r="C335" s="7" t="n">
        <v>52</v>
      </c>
      <c r="D335" s="22" t="s">
        <v>219</v>
      </c>
      <c r="E335" s="4" t="s">
        <v>792</v>
      </c>
      <c r="F335" s="23"/>
      <c r="G335" s="22" t="s">
        <v>34</v>
      </c>
      <c r="H335" s="3"/>
      <c r="I335" s="4" t="s">
        <v>742</v>
      </c>
      <c r="J335" s="7" t="n">
        <f aca="false">LEN(E335)-SUMPRODUCT(LEN(E335)-LEN(SUBSTITUTE(E335,{"，","。","？","！","、","…","；","：","《","》"," ","“","”","—","（","）","·"},"")))</f>
        <v>13</v>
      </c>
      <c r="K335" s="23"/>
    </row>
    <row r="336" customFormat="false" ht="36" hidden="false" customHeight="true" outlineLevel="0" collapsed="false">
      <c r="A336" s="7" t="s">
        <v>123</v>
      </c>
      <c r="B336" s="15" t="n">
        <v>3</v>
      </c>
      <c r="C336" s="7" t="n">
        <v>53</v>
      </c>
      <c r="D336" s="22" t="s">
        <v>716</v>
      </c>
      <c r="E336" s="4" t="s">
        <v>793</v>
      </c>
      <c r="F336" s="23"/>
      <c r="G336" s="22" t="s">
        <v>34</v>
      </c>
      <c r="H336" s="3"/>
      <c r="I336" s="4" t="s">
        <v>794</v>
      </c>
      <c r="J336" s="7" t="n">
        <f aca="false">LEN(E336)-SUMPRODUCT(LEN(E336)-LEN(SUBSTITUTE(E336,{"，","。","？","！","、","…","；","：","《","》"," ","“","”","—","（","）","·"},"")))</f>
        <v>25</v>
      </c>
      <c r="K336" s="23"/>
    </row>
    <row r="337" customFormat="false" ht="36" hidden="false" customHeight="true" outlineLevel="0" collapsed="false">
      <c r="A337" s="7" t="s">
        <v>123</v>
      </c>
      <c r="B337" s="15" t="n">
        <v>3</v>
      </c>
      <c r="C337" s="7" t="n">
        <v>54</v>
      </c>
      <c r="D337" s="22" t="s">
        <v>219</v>
      </c>
      <c r="E337" s="4" t="s">
        <v>795</v>
      </c>
      <c r="F337" s="23"/>
      <c r="G337" s="22" t="s">
        <v>40</v>
      </c>
      <c r="H337" s="3" t="s">
        <v>796</v>
      </c>
      <c r="I337" s="3"/>
      <c r="J337" s="7" t="n">
        <f aca="false">LEN(E337)-SUMPRODUCT(LEN(E337)-LEN(SUBSTITUTE(E337,{"，","。","？","！","、","…","；","：","《","》"," ","“","”","—","（","）","·"},"")))</f>
        <v>25</v>
      </c>
      <c r="K337" s="23"/>
    </row>
    <row r="338" customFormat="false" ht="21" hidden="false" customHeight="true" outlineLevel="0" collapsed="false">
      <c r="A338" s="7" t="s">
        <v>123</v>
      </c>
      <c r="B338" s="15" t="n">
        <v>3</v>
      </c>
      <c r="C338" s="7" t="n">
        <v>55</v>
      </c>
      <c r="D338" s="22" t="s">
        <v>222</v>
      </c>
      <c r="E338" s="4" t="s">
        <v>797</v>
      </c>
      <c r="F338" s="23"/>
      <c r="G338" s="22" t="s">
        <v>42</v>
      </c>
      <c r="H338" s="3" t="s">
        <v>796</v>
      </c>
      <c r="I338" s="3"/>
      <c r="J338" s="7" t="n">
        <f aca="false">LEN(E338)-SUMPRODUCT(LEN(E338)-LEN(SUBSTITUTE(E338,{"，","。","？","！","、","…","；","：","《","》"," ","“","”","—","（","）","·"},"")))</f>
        <v>7</v>
      </c>
      <c r="K338" s="23"/>
    </row>
    <row r="339" customFormat="false" ht="21" hidden="false" customHeight="true" outlineLevel="0" collapsed="false">
      <c r="A339" s="7" t="s">
        <v>123</v>
      </c>
      <c r="B339" s="15" t="n">
        <v>3</v>
      </c>
      <c r="C339" s="7" t="n">
        <v>56</v>
      </c>
      <c r="D339" s="22" t="s">
        <v>232</v>
      </c>
      <c r="E339" s="4" t="s">
        <v>798</v>
      </c>
      <c r="F339" s="23" t="s">
        <v>234</v>
      </c>
      <c r="G339" s="22" t="s">
        <v>42</v>
      </c>
      <c r="H339" s="3" t="s">
        <v>796</v>
      </c>
      <c r="I339" s="3"/>
      <c r="J339" s="7" t="n">
        <f aca="false">LEN(E339)-SUMPRODUCT(LEN(E339)-LEN(SUBSTITUTE(E339,{"，","。","？","！","、","…","；","：","《","》"," ","“","”","—","（","）","·"},"")))</f>
        <v>9</v>
      </c>
      <c r="K339" s="23"/>
    </row>
    <row r="340" customFormat="false" ht="36" hidden="false" customHeight="true" outlineLevel="0" collapsed="false">
      <c r="A340" s="7" t="s">
        <v>129</v>
      </c>
      <c r="B340" s="15" t="n">
        <v>3</v>
      </c>
      <c r="C340" s="7" t="n">
        <v>1</v>
      </c>
      <c r="D340" s="22" t="s">
        <v>219</v>
      </c>
      <c r="E340" s="4" t="s">
        <v>799</v>
      </c>
      <c r="F340" s="23" t="s">
        <v>800</v>
      </c>
      <c r="G340" s="22" t="s">
        <v>34</v>
      </c>
      <c r="H340" s="3" t="s">
        <v>801</v>
      </c>
      <c r="I340" s="4" t="s">
        <v>802</v>
      </c>
      <c r="J340" s="7" t="n">
        <f aca="false">LEN(E340)-SUMPRODUCT(LEN(E340)-LEN(SUBSTITUTE(E340,{"，","。","？","！","、","…","；","：","《","》"," ","“","”","—","（","）","·"},"")))</f>
        <v>37</v>
      </c>
      <c r="K340" s="23"/>
    </row>
    <row r="341" customFormat="false" ht="36" hidden="false" customHeight="true" outlineLevel="0" collapsed="false">
      <c r="A341" s="7" t="s">
        <v>129</v>
      </c>
      <c r="B341" s="15" t="n">
        <v>3</v>
      </c>
      <c r="C341" s="7" t="n">
        <v>2</v>
      </c>
      <c r="D341" s="22" t="s">
        <v>222</v>
      </c>
      <c r="E341" s="4" t="s">
        <v>803</v>
      </c>
      <c r="F341" s="23" t="s">
        <v>234</v>
      </c>
      <c r="G341" s="22" t="s">
        <v>34</v>
      </c>
      <c r="H341" s="3" t="s">
        <v>711</v>
      </c>
      <c r="I341" s="3"/>
      <c r="J341" s="7" t="n">
        <f aca="false">LEN(E341)-SUMPRODUCT(LEN(E341)-LEN(SUBSTITUTE(E341,{"，","。","？","！","、","…","；","：","《","》"," ","“","”","—","（","）","·"},"")))</f>
        <v>3</v>
      </c>
      <c r="K341" s="23"/>
    </row>
    <row r="342" customFormat="false" ht="36" hidden="false" customHeight="true" outlineLevel="0" collapsed="false">
      <c r="A342" s="7" t="s">
        <v>129</v>
      </c>
      <c r="B342" s="15" t="n">
        <v>3</v>
      </c>
      <c r="C342" s="7" t="n">
        <v>3</v>
      </c>
      <c r="D342" s="22" t="s">
        <v>232</v>
      </c>
      <c r="E342" s="4" t="s">
        <v>804</v>
      </c>
      <c r="F342" s="23" t="s">
        <v>234</v>
      </c>
      <c r="G342" s="22" t="s">
        <v>34</v>
      </c>
      <c r="H342" s="3" t="s">
        <v>805</v>
      </c>
      <c r="I342" s="3"/>
      <c r="J342" s="7" t="n">
        <f aca="false">LEN(E342)-SUMPRODUCT(LEN(E342)-LEN(SUBSTITUTE(E342,{"，","。","？","！","、","…","；","：","《","》"," ","“","”","—","（","）","·"},"")))</f>
        <v>10</v>
      </c>
      <c r="K342" s="23"/>
    </row>
    <row r="343" customFormat="false" ht="36" hidden="false" customHeight="true" outlineLevel="0" collapsed="false">
      <c r="A343" s="7" t="s">
        <v>129</v>
      </c>
      <c r="B343" s="15" t="n">
        <v>3</v>
      </c>
      <c r="C343" s="7" t="n">
        <v>4</v>
      </c>
      <c r="D343" s="22" t="s">
        <v>481</v>
      </c>
      <c r="E343" s="4" t="s">
        <v>806</v>
      </c>
      <c r="F343" s="23"/>
      <c r="G343" s="22" t="s">
        <v>34</v>
      </c>
      <c r="H343" s="3" t="s">
        <v>441</v>
      </c>
      <c r="I343" s="4" t="s">
        <v>807</v>
      </c>
      <c r="J343" s="7" t="n">
        <f aca="false">LEN(E343)-SUMPRODUCT(LEN(E343)-LEN(SUBSTITUTE(E343,{"，","。","？","！","、","…","；","：","《","》"," ","“","”","—","（","）","·"},"")))</f>
        <v>18</v>
      </c>
      <c r="K343" s="23"/>
    </row>
    <row r="344" customFormat="false" ht="36" hidden="false" customHeight="true" outlineLevel="0" collapsed="false">
      <c r="A344" s="7" t="s">
        <v>129</v>
      </c>
      <c r="B344" s="15" t="n">
        <v>3</v>
      </c>
      <c r="C344" s="7" t="n">
        <v>5</v>
      </c>
      <c r="D344" s="22" t="s">
        <v>219</v>
      </c>
      <c r="E344" s="4" t="s">
        <v>808</v>
      </c>
      <c r="F344" s="23"/>
      <c r="G344" s="22" t="s">
        <v>34</v>
      </c>
      <c r="H344" s="3" t="s">
        <v>809</v>
      </c>
      <c r="I344" s="4" t="s">
        <v>810</v>
      </c>
      <c r="J344" s="7" t="n">
        <f aca="false">LEN(E344)-SUMPRODUCT(LEN(E344)-LEN(SUBSTITUTE(E344,{"，","。","？","！","、","…","；","：","《","》"," ","“","”","—","（","）","·"},"")))</f>
        <v>23</v>
      </c>
      <c r="K344" s="23"/>
    </row>
    <row r="345" customFormat="false" ht="36" hidden="false" customHeight="true" outlineLevel="0" collapsed="false">
      <c r="A345" s="7" t="s">
        <v>129</v>
      </c>
      <c r="B345" s="15" t="n">
        <v>3</v>
      </c>
      <c r="C345" s="7" t="n">
        <v>6</v>
      </c>
      <c r="D345" s="22" t="s">
        <v>222</v>
      </c>
      <c r="E345" s="4" t="s">
        <v>811</v>
      </c>
      <c r="F345" s="23" t="s">
        <v>234</v>
      </c>
      <c r="G345" s="22" t="s">
        <v>34</v>
      </c>
      <c r="H345" s="3"/>
      <c r="I345" s="3"/>
      <c r="J345" s="7" t="n">
        <f aca="false">LEN(E345)-SUMPRODUCT(LEN(E345)-LEN(SUBSTITUTE(E345,{"，","。","？","！","、","…","；","：","《","》"," ","“","”","—","（","）","·"},"")))</f>
        <v>12</v>
      </c>
      <c r="K345" s="23"/>
    </row>
    <row r="346" customFormat="false" ht="36" hidden="false" customHeight="true" outlineLevel="0" collapsed="false">
      <c r="A346" s="7" t="s">
        <v>129</v>
      </c>
      <c r="B346" s="15" t="n">
        <v>3</v>
      </c>
      <c r="C346" s="7" t="n">
        <v>7</v>
      </c>
      <c r="D346" s="22" t="s">
        <v>232</v>
      </c>
      <c r="E346" s="4" t="s">
        <v>812</v>
      </c>
      <c r="F346" s="23" t="s">
        <v>234</v>
      </c>
      <c r="G346" s="22" t="s">
        <v>34</v>
      </c>
      <c r="H346" s="3"/>
      <c r="I346" s="3"/>
      <c r="J346" s="7" t="n">
        <f aca="false">LEN(E346)-SUMPRODUCT(LEN(E346)-LEN(SUBSTITUTE(E346,{"，","。","？","！","、","…","；","：","《","》"," ","“","”","—","（","）","·"},"")))</f>
        <v>11</v>
      </c>
      <c r="K346" s="23"/>
    </row>
    <row r="347" customFormat="false" ht="36" hidden="false" customHeight="true" outlineLevel="0" collapsed="false">
      <c r="A347" s="7" t="s">
        <v>129</v>
      </c>
      <c r="B347" s="15" t="n">
        <v>3</v>
      </c>
      <c r="C347" s="7" t="n">
        <v>8</v>
      </c>
      <c r="D347" s="22" t="s">
        <v>219</v>
      </c>
      <c r="E347" s="4" t="s">
        <v>813</v>
      </c>
      <c r="F347" s="23"/>
      <c r="G347" s="22" t="s">
        <v>34</v>
      </c>
      <c r="H347" s="3"/>
      <c r="I347" s="4" t="s">
        <v>810</v>
      </c>
      <c r="J347" s="7" t="n">
        <f aca="false">LEN(E347)-SUMPRODUCT(LEN(E347)-LEN(SUBSTITUTE(E347,{"，","。","？","！","、","…","；","：","《","》"," ","“","”","—","（","）","·"},"")))</f>
        <v>22</v>
      </c>
      <c r="K347" s="23"/>
    </row>
    <row r="348" customFormat="false" ht="36" hidden="false" customHeight="true" outlineLevel="0" collapsed="false">
      <c r="A348" s="7" t="s">
        <v>129</v>
      </c>
      <c r="B348" s="15" t="n">
        <v>3</v>
      </c>
      <c r="C348" s="7" t="n">
        <v>9</v>
      </c>
      <c r="D348" s="22" t="s">
        <v>481</v>
      </c>
      <c r="E348" s="4" t="s">
        <v>814</v>
      </c>
      <c r="F348" s="23" t="s">
        <v>722</v>
      </c>
      <c r="G348" s="22" t="s">
        <v>34</v>
      </c>
      <c r="H348" s="3"/>
      <c r="I348" s="3"/>
      <c r="J348" s="7" t="n">
        <f aca="false">LEN(E348)-SUMPRODUCT(LEN(E348)-LEN(SUBSTITUTE(E348,{"，","。","？","！","、","…","；","：","《","》"," ","“","”","—","（","）","·"},"")))</f>
        <v>12</v>
      </c>
      <c r="K348" s="23"/>
    </row>
    <row r="349" customFormat="false" ht="36" hidden="false" customHeight="true" outlineLevel="0" collapsed="false">
      <c r="A349" s="7" t="s">
        <v>129</v>
      </c>
      <c r="B349" s="15" t="n">
        <v>3</v>
      </c>
      <c r="C349" s="7" t="n">
        <v>10</v>
      </c>
      <c r="D349" s="22" t="s">
        <v>222</v>
      </c>
      <c r="E349" s="4" t="s">
        <v>815</v>
      </c>
      <c r="F349" s="23"/>
      <c r="G349" s="22" t="s">
        <v>34</v>
      </c>
      <c r="H349" s="3" t="s">
        <v>816</v>
      </c>
      <c r="I349" s="3"/>
      <c r="J349" s="7" t="n">
        <f aca="false">LEN(E349)-SUMPRODUCT(LEN(E349)-LEN(SUBSTITUTE(E349,{"，","。","？","！","、","…","；","：","《","》"," ","“","”","—","（","）","·"},"")))</f>
        <v>15</v>
      </c>
      <c r="K349" s="23"/>
    </row>
    <row r="350" customFormat="false" ht="21" hidden="false" customHeight="true" outlineLevel="0" collapsed="false">
      <c r="A350" s="7" t="s">
        <v>129</v>
      </c>
      <c r="B350" s="15" t="n">
        <v>3</v>
      </c>
      <c r="C350" s="7" t="n">
        <v>11</v>
      </c>
      <c r="D350" s="22" t="s">
        <v>232</v>
      </c>
      <c r="E350" s="4" t="s">
        <v>817</v>
      </c>
      <c r="F350" s="23" t="s">
        <v>234</v>
      </c>
      <c r="G350" s="22" t="s">
        <v>42</v>
      </c>
      <c r="H350" s="3"/>
      <c r="I350" s="3"/>
      <c r="J350" s="7" t="n">
        <f aca="false">LEN(E350)-SUMPRODUCT(LEN(E350)-LEN(SUBSTITUTE(E350,{"，","。","？","！","、","…","；","：","《","》"," ","“","”","—","（","）","·"},"")))</f>
        <v>5</v>
      </c>
      <c r="K350" s="23"/>
    </row>
    <row r="351" customFormat="false" ht="36" hidden="false" customHeight="true" outlineLevel="0" collapsed="false">
      <c r="A351" s="7" t="s">
        <v>129</v>
      </c>
      <c r="B351" s="15" t="n">
        <v>3</v>
      </c>
      <c r="C351" s="7" t="n">
        <v>12</v>
      </c>
      <c r="D351" s="22" t="s">
        <v>219</v>
      </c>
      <c r="E351" s="4" t="s">
        <v>818</v>
      </c>
      <c r="F351" s="23"/>
      <c r="G351" s="22" t="s">
        <v>34</v>
      </c>
      <c r="H351" s="3"/>
      <c r="I351" s="4" t="s">
        <v>512</v>
      </c>
      <c r="J351" s="7" t="n">
        <f aca="false">LEN(E351)-SUMPRODUCT(LEN(E351)-LEN(SUBSTITUTE(E351,{"，","。","？","！","、","…","；","：","《","》"," ","“","”","—","（","）","·"},"")))</f>
        <v>19</v>
      </c>
      <c r="K351" s="23"/>
    </row>
    <row r="352" customFormat="false" ht="36" hidden="false" customHeight="true" outlineLevel="0" collapsed="false">
      <c r="A352" s="7" t="s">
        <v>129</v>
      </c>
      <c r="B352" s="15" t="n">
        <v>3</v>
      </c>
      <c r="C352" s="7" t="n">
        <v>13</v>
      </c>
      <c r="D352" s="22" t="s">
        <v>222</v>
      </c>
      <c r="E352" s="4" t="s">
        <v>819</v>
      </c>
      <c r="F352" s="23" t="s">
        <v>722</v>
      </c>
      <c r="G352" s="22" t="s">
        <v>34</v>
      </c>
      <c r="H352" s="3" t="s">
        <v>783</v>
      </c>
      <c r="I352" s="4" t="s">
        <v>742</v>
      </c>
      <c r="J352" s="7" t="n">
        <f aca="false">LEN(E352)-SUMPRODUCT(LEN(E352)-LEN(SUBSTITUTE(E352,{"，","。","？","！","、","…","；","：","《","》"," ","“","”","—","（","）","·"},"")))</f>
        <v>14</v>
      </c>
      <c r="K352" s="23"/>
    </row>
    <row r="353" customFormat="false" ht="36" hidden="false" customHeight="true" outlineLevel="0" collapsed="false">
      <c r="A353" s="7" t="s">
        <v>129</v>
      </c>
      <c r="B353" s="15" t="n">
        <v>3</v>
      </c>
      <c r="C353" s="7" t="n">
        <v>14</v>
      </c>
      <c r="D353" s="22" t="s">
        <v>232</v>
      </c>
      <c r="E353" s="4" t="s">
        <v>820</v>
      </c>
      <c r="F353" s="23" t="s">
        <v>234</v>
      </c>
      <c r="G353" s="22" t="s">
        <v>34</v>
      </c>
      <c r="H353" s="3" t="s">
        <v>783</v>
      </c>
      <c r="I353" s="3"/>
      <c r="J353" s="7" t="n">
        <f aca="false">LEN(E353)-SUMPRODUCT(LEN(E353)-LEN(SUBSTITUTE(E353,{"，","。","？","！","、","…","；","：","《","》"," ","“","”","—","（","）","·"},"")))</f>
        <v>9</v>
      </c>
      <c r="K353" s="23"/>
    </row>
    <row r="354" customFormat="false" ht="21" hidden="false" customHeight="true" outlineLevel="0" collapsed="false">
      <c r="A354" s="7" t="s">
        <v>129</v>
      </c>
      <c r="B354" s="15" t="n">
        <v>3</v>
      </c>
      <c r="C354" s="7" t="n">
        <v>15</v>
      </c>
      <c r="D354" s="22" t="s">
        <v>481</v>
      </c>
      <c r="E354" s="4" t="s">
        <v>821</v>
      </c>
      <c r="F354" s="23" t="s">
        <v>822</v>
      </c>
      <c r="G354" s="22" t="s">
        <v>42</v>
      </c>
      <c r="H354" s="3"/>
      <c r="I354" s="4" t="s">
        <v>823</v>
      </c>
      <c r="J354" s="7" t="n">
        <f aca="false">LEN(E354)-SUMPRODUCT(LEN(E354)-LEN(SUBSTITUTE(E354,{"，","。","？","！","、","…","；","：","《","》"," ","“","”","—","（","）","·"},"")))</f>
        <v>13</v>
      </c>
      <c r="K354" s="23"/>
    </row>
    <row r="355" customFormat="false" ht="36" hidden="false" customHeight="true" outlineLevel="0" collapsed="false">
      <c r="A355" s="7" t="s">
        <v>129</v>
      </c>
      <c r="B355" s="15" t="n">
        <v>3</v>
      </c>
      <c r="C355" s="7" t="n">
        <v>16</v>
      </c>
      <c r="D355" s="22" t="s">
        <v>481</v>
      </c>
      <c r="E355" s="4" t="s">
        <v>824</v>
      </c>
      <c r="F355" s="23" t="s">
        <v>825</v>
      </c>
      <c r="G355" s="22" t="s">
        <v>34</v>
      </c>
      <c r="H355" s="4" t="s">
        <v>826</v>
      </c>
      <c r="I355" s="4" t="s">
        <v>827</v>
      </c>
      <c r="J355" s="7" t="n">
        <f aca="false">LEN(E355)-SUMPRODUCT(LEN(E355)-LEN(SUBSTITUTE(E355,{"，","。","？","！","、","…","；","：","《","》"," ","“","”","—","（","）","·"},"")))</f>
        <v>41</v>
      </c>
      <c r="K355" s="23"/>
    </row>
    <row r="356" customFormat="false" ht="36" hidden="false" customHeight="true" outlineLevel="0" collapsed="false">
      <c r="A356" s="7" t="s">
        <v>129</v>
      </c>
      <c r="B356" s="15" t="n">
        <v>3</v>
      </c>
      <c r="C356" s="7" t="n">
        <v>17</v>
      </c>
      <c r="D356" s="22" t="s">
        <v>232</v>
      </c>
      <c r="E356" s="4" t="s">
        <v>828</v>
      </c>
      <c r="F356" s="23"/>
      <c r="G356" s="22" t="s">
        <v>34</v>
      </c>
      <c r="H356" s="3" t="s">
        <v>441</v>
      </c>
      <c r="I356" s="3"/>
      <c r="J356" s="7" t="n">
        <f aca="false">LEN(E356)-SUMPRODUCT(LEN(E356)-LEN(SUBSTITUTE(E356,{"，","。","？","！","、","…","；","：","《","》"," ","“","”","—","（","）","·"},"")))</f>
        <v>13</v>
      </c>
      <c r="K356" s="23"/>
    </row>
    <row r="357" customFormat="false" ht="21" hidden="false" customHeight="true" outlineLevel="0" collapsed="false">
      <c r="A357" s="7" t="s">
        <v>129</v>
      </c>
      <c r="B357" s="15" t="n">
        <v>3</v>
      </c>
      <c r="C357" s="7" t="n">
        <v>18</v>
      </c>
      <c r="D357" s="22" t="s">
        <v>222</v>
      </c>
      <c r="E357" s="4" t="s">
        <v>829</v>
      </c>
      <c r="F357" s="23" t="s">
        <v>234</v>
      </c>
      <c r="G357" s="22" t="s">
        <v>42</v>
      </c>
      <c r="H357" s="3"/>
      <c r="I357" s="3"/>
      <c r="J357" s="7" t="n">
        <f aca="false">LEN(E357)-SUMPRODUCT(LEN(E357)-LEN(SUBSTITUTE(E357,{"，","。","？","！","、","…","；","：","《","》"," ","“","”","—","（","）","·"},"")))</f>
        <v>4</v>
      </c>
      <c r="K357" s="23"/>
    </row>
    <row r="358" customFormat="false" ht="36" hidden="false" customHeight="true" outlineLevel="0" collapsed="false">
      <c r="A358" s="7" t="s">
        <v>129</v>
      </c>
      <c r="B358" s="15" t="n">
        <v>3</v>
      </c>
      <c r="C358" s="7" t="n">
        <v>19</v>
      </c>
      <c r="D358" s="22" t="s">
        <v>219</v>
      </c>
      <c r="E358" s="4" t="s">
        <v>830</v>
      </c>
      <c r="F358" s="23"/>
      <c r="G358" s="22" t="s">
        <v>34</v>
      </c>
      <c r="H358" s="3" t="s">
        <v>441</v>
      </c>
      <c r="I358" s="3"/>
      <c r="J358" s="7" t="n">
        <f aca="false">LEN(E358)-SUMPRODUCT(LEN(E358)-LEN(SUBSTITUTE(E358,{"，","。","？","！","、","…","；","：","《","》"," ","“","”","—","（","）","·"},"")))</f>
        <v>19</v>
      </c>
      <c r="K358" s="23"/>
    </row>
    <row r="359" customFormat="false" ht="36" hidden="false" customHeight="true" outlineLevel="0" collapsed="false">
      <c r="A359" s="7" t="s">
        <v>129</v>
      </c>
      <c r="B359" s="15" t="n">
        <v>3</v>
      </c>
      <c r="C359" s="7" t="n">
        <v>20</v>
      </c>
      <c r="D359" s="22" t="s">
        <v>481</v>
      </c>
      <c r="E359" s="4" t="s">
        <v>831</v>
      </c>
      <c r="F359" s="23" t="s">
        <v>722</v>
      </c>
      <c r="G359" s="22" t="s">
        <v>34</v>
      </c>
      <c r="H359" s="3" t="s">
        <v>809</v>
      </c>
      <c r="I359" s="3"/>
      <c r="J359" s="7" t="n">
        <f aca="false">LEN(E359)-SUMPRODUCT(LEN(E359)-LEN(SUBSTITUTE(E359,{"，","。","？","！","、","…","；","：","《","》"," ","“","”","—","（","）","·"},"")))</f>
        <v>17</v>
      </c>
      <c r="K359" s="23"/>
    </row>
    <row r="360" customFormat="false" ht="21" hidden="false" customHeight="true" outlineLevel="0" collapsed="false">
      <c r="A360" s="7" t="s">
        <v>129</v>
      </c>
      <c r="B360" s="15" t="n">
        <v>3</v>
      </c>
      <c r="C360" s="7" t="n">
        <v>21</v>
      </c>
      <c r="D360" s="22" t="s">
        <v>232</v>
      </c>
      <c r="E360" s="4" t="s">
        <v>832</v>
      </c>
      <c r="F360" s="23"/>
      <c r="G360" s="22" t="s">
        <v>42</v>
      </c>
      <c r="H360" s="3"/>
      <c r="I360" s="3"/>
      <c r="J360" s="7" t="n">
        <f aca="false">LEN(E360)-SUMPRODUCT(LEN(E360)-LEN(SUBSTITUTE(E360,{"，","。","？","！","、","…","；","：","《","》"," ","“","”","—","（","）","·"},"")))</f>
        <v>4</v>
      </c>
      <c r="K360" s="23"/>
    </row>
    <row r="361" customFormat="false" ht="21" hidden="false" customHeight="true" outlineLevel="0" collapsed="false">
      <c r="A361" s="7" t="s">
        <v>129</v>
      </c>
      <c r="B361" s="15" t="n">
        <v>3</v>
      </c>
      <c r="C361" s="7" t="n">
        <v>22</v>
      </c>
      <c r="D361" s="22" t="s">
        <v>222</v>
      </c>
      <c r="E361" s="4" t="s">
        <v>833</v>
      </c>
      <c r="F361" s="23" t="s">
        <v>234</v>
      </c>
      <c r="G361" s="22" t="s">
        <v>42</v>
      </c>
      <c r="H361" s="3"/>
      <c r="I361" s="3"/>
      <c r="J361" s="7" t="n">
        <f aca="false">LEN(E361)-SUMPRODUCT(LEN(E361)-LEN(SUBSTITUTE(E361,{"，","。","？","！","、","…","；","：","《","》"," ","“","”","—","（","）","·"},"")))</f>
        <v>6</v>
      </c>
      <c r="K361" s="23"/>
    </row>
    <row r="362" customFormat="false" ht="36" hidden="false" customHeight="true" outlineLevel="0" collapsed="false">
      <c r="A362" s="7" t="s">
        <v>129</v>
      </c>
      <c r="B362" s="15" t="n">
        <v>3</v>
      </c>
      <c r="C362" s="7" t="n">
        <v>23</v>
      </c>
      <c r="D362" s="22" t="s">
        <v>219</v>
      </c>
      <c r="E362" s="4" t="s">
        <v>834</v>
      </c>
      <c r="F362" s="23"/>
      <c r="G362" s="22" t="s">
        <v>34</v>
      </c>
      <c r="H362" s="3"/>
      <c r="I362" s="3"/>
      <c r="J362" s="7" t="n">
        <f aca="false">LEN(E362)-SUMPRODUCT(LEN(E362)-LEN(SUBSTITUTE(E362,{"，","。","？","！","、","…","；","：","《","》"," ","“","”","—","（","）","·"},"")))</f>
        <v>10</v>
      </c>
      <c r="K362" s="23"/>
    </row>
    <row r="363" customFormat="false" ht="21" hidden="false" customHeight="true" outlineLevel="0" collapsed="false">
      <c r="A363" s="7" t="s">
        <v>129</v>
      </c>
      <c r="B363" s="15" t="n">
        <v>3</v>
      </c>
      <c r="C363" s="7" t="n">
        <v>24</v>
      </c>
      <c r="D363" s="22" t="s">
        <v>222</v>
      </c>
      <c r="E363" s="4" t="s">
        <v>835</v>
      </c>
      <c r="F363" s="23" t="s">
        <v>722</v>
      </c>
      <c r="G363" s="22" t="s">
        <v>42</v>
      </c>
      <c r="H363" s="3"/>
      <c r="I363" s="3"/>
      <c r="J363" s="7" t="n">
        <f aca="false">LEN(E363)-SUMPRODUCT(LEN(E363)-LEN(SUBSTITUTE(E363,{"，","。","？","！","、","…","；","：","《","》"," ","“","”","—","（","）","·"},"")))</f>
        <v>8</v>
      </c>
      <c r="K363" s="23"/>
    </row>
    <row r="364" customFormat="false" ht="21" hidden="false" customHeight="true" outlineLevel="0" collapsed="false">
      <c r="A364" s="7" t="s">
        <v>129</v>
      </c>
      <c r="B364" s="15" t="n">
        <v>3</v>
      </c>
      <c r="C364" s="7" t="n">
        <v>25</v>
      </c>
      <c r="D364" s="22" t="s">
        <v>232</v>
      </c>
      <c r="E364" s="4" t="s">
        <v>836</v>
      </c>
      <c r="F364" s="23" t="s">
        <v>234</v>
      </c>
      <c r="G364" s="22" t="s">
        <v>42</v>
      </c>
      <c r="H364" s="3"/>
      <c r="I364" s="3"/>
      <c r="J364" s="7" t="n">
        <f aca="false">LEN(E364)-SUMPRODUCT(LEN(E364)-LEN(SUBSTITUTE(E364,{"，","。","？","！","、","…","；","：","《","》"," ","“","”","—","（","）","·"},"")))</f>
        <v>12</v>
      </c>
      <c r="K364" s="23"/>
    </row>
    <row r="365" customFormat="false" ht="36" hidden="false" customHeight="true" outlineLevel="0" collapsed="false">
      <c r="A365" s="7" t="s">
        <v>129</v>
      </c>
      <c r="B365" s="15" t="n">
        <v>3</v>
      </c>
      <c r="C365" s="7" t="n">
        <v>26</v>
      </c>
      <c r="D365" s="22" t="s">
        <v>219</v>
      </c>
      <c r="E365" s="4" t="s">
        <v>837</v>
      </c>
      <c r="F365" s="23" t="s">
        <v>838</v>
      </c>
      <c r="G365" s="22" t="s">
        <v>42</v>
      </c>
      <c r="H365" s="3"/>
      <c r="I365" s="3"/>
      <c r="J365" s="7" t="n">
        <f aca="false">LEN(E365)-SUMPRODUCT(LEN(E365)-LEN(SUBSTITUTE(E365,{"，","。","？","！","、","…","；","：","《","》"," ","“","”","—","（","）","·"},"")))</f>
        <v>11</v>
      </c>
      <c r="K365" s="23"/>
    </row>
    <row r="366" customFormat="false" ht="21" hidden="false" customHeight="true" outlineLevel="0" collapsed="false">
      <c r="A366" s="7" t="s">
        <v>129</v>
      </c>
      <c r="B366" s="15" t="n">
        <v>3</v>
      </c>
      <c r="C366" s="7" t="n">
        <v>27</v>
      </c>
      <c r="D366" s="22" t="s">
        <v>646</v>
      </c>
      <c r="E366" s="4" t="s">
        <v>839</v>
      </c>
      <c r="F366" s="23" t="s">
        <v>840</v>
      </c>
      <c r="G366" s="22" t="s">
        <v>42</v>
      </c>
      <c r="H366" s="3"/>
      <c r="I366" s="4" t="s">
        <v>794</v>
      </c>
      <c r="J366" s="7" t="n">
        <f aca="false">LEN(E366)-SUMPRODUCT(LEN(E366)-LEN(SUBSTITUTE(E366,{"，","。","？","！","、","…","；","：","《","》"," ","“","”","—","（","）","·"},"")))</f>
        <v>6</v>
      </c>
      <c r="K366" s="23"/>
    </row>
    <row r="367" customFormat="false" ht="36" hidden="false" customHeight="true" outlineLevel="0" collapsed="false">
      <c r="A367" s="7" t="s">
        <v>129</v>
      </c>
      <c r="B367" s="15" t="n">
        <v>3</v>
      </c>
      <c r="C367" s="7" t="n">
        <v>28</v>
      </c>
      <c r="D367" s="22" t="s">
        <v>219</v>
      </c>
      <c r="E367" s="4" t="s">
        <v>841</v>
      </c>
      <c r="F367" s="23"/>
      <c r="G367" s="22" t="s">
        <v>34</v>
      </c>
      <c r="H367" s="3" t="s">
        <v>441</v>
      </c>
      <c r="I367" s="4" t="s">
        <v>842</v>
      </c>
      <c r="J367" s="7" t="n">
        <f aca="false">LEN(E367)-SUMPRODUCT(LEN(E367)-LEN(SUBSTITUTE(E367,{"，","。","？","！","、","…","；","：","《","》"," ","“","”","—","（","）","·"},"")))</f>
        <v>33</v>
      </c>
      <c r="K367" s="23"/>
    </row>
    <row r="368" customFormat="false" ht="36" hidden="false" customHeight="true" outlineLevel="0" collapsed="false">
      <c r="A368" s="7" t="s">
        <v>129</v>
      </c>
      <c r="B368" s="15" t="n">
        <v>3</v>
      </c>
      <c r="C368" s="7" t="n">
        <v>29</v>
      </c>
      <c r="D368" s="22" t="s">
        <v>646</v>
      </c>
      <c r="E368" s="4" t="s">
        <v>843</v>
      </c>
      <c r="F368" s="23" t="s">
        <v>840</v>
      </c>
      <c r="G368" s="22" t="s">
        <v>34</v>
      </c>
      <c r="H368" s="3"/>
      <c r="I368" s="4" t="s">
        <v>794</v>
      </c>
      <c r="J368" s="7" t="n">
        <f aca="false">LEN(E368)-SUMPRODUCT(LEN(E368)-LEN(SUBSTITUTE(E368,{"，","。","？","！","、","…","；","：","《","》"," ","“","”","—","（","）","·"},"")))</f>
        <v>29</v>
      </c>
      <c r="K368" s="23"/>
    </row>
    <row r="369" customFormat="false" ht="21" hidden="false" customHeight="true" outlineLevel="0" collapsed="false">
      <c r="A369" s="7" t="s">
        <v>129</v>
      </c>
      <c r="B369" s="15" t="n">
        <v>3</v>
      </c>
      <c r="C369" s="7" t="n">
        <v>30</v>
      </c>
      <c r="D369" s="22" t="s">
        <v>481</v>
      </c>
      <c r="E369" s="4" t="s">
        <v>844</v>
      </c>
      <c r="F369" s="23" t="s">
        <v>845</v>
      </c>
      <c r="G369" s="22" t="s">
        <v>42</v>
      </c>
      <c r="H369" s="3"/>
      <c r="I369" s="4" t="s">
        <v>846</v>
      </c>
      <c r="J369" s="7" t="n">
        <f aca="false">LEN(E369)-SUMPRODUCT(LEN(E369)-LEN(SUBSTITUTE(E369,{"，","。","？","！","、","…","；","：","《","》"," ","“","”","—","（","）","·"},"")))</f>
        <v>12</v>
      </c>
      <c r="K369" s="23"/>
    </row>
    <row r="370" customFormat="false" ht="36" hidden="false" customHeight="true" outlineLevel="0" collapsed="false">
      <c r="A370" s="7" t="s">
        <v>129</v>
      </c>
      <c r="B370" s="15" t="n">
        <v>3</v>
      </c>
      <c r="C370" s="7" t="n">
        <v>31</v>
      </c>
      <c r="D370" s="22" t="s">
        <v>481</v>
      </c>
      <c r="E370" s="4" t="s">
        <v>847</v>
      </c>
      <c r="F370" s="23"/>
      <c r="G370" s="22" t="s">
        <v>34</v>
      </c>
      <c r="H370" s="3" t="s">
        <v>848</v>
      </c>
      <c r="I370" s="4" t="s">
        <v>849</v>
      </c>
      <c r="J370" s="7" t="n">
        <f aca="false">LEN(E370)-SUMPRODUCT(LEN(E370)-LEN(SUBSTITUTE(E370,{"，","。","？","！","、","…","；","：","《","》"," ","“","”","—","（","）","·"},"")))</f>
        <v>34</v>
      </c>
      <c r="K370" s="23"/>
    </row>
    <row r="371" customFormat="false" ht="36" hidden="false" customHeight="true" outlineLevel="0" collapsed="false">
      <c r="A371" s="7" t="s">
        <v>129</v>
      </c>
      <c r="B371" s="15" t="n">
        <v>3</v>
      </c>
      <c r="C371" s="7" t="n">
        <v>32</v>
      </c>
      <c r="D371" s="22" t="s">
        <v>232</v>
      </c>
      <c r="E371" s="4" t="s">
        <v>850</v>
      </c>
      <c r="F371" s="23" t="s">
        <v>770</v>
      </c>
      <c r="G371" s="22" t="s">
        <v>34</v>
      </c>
      <c r="H371" s="3"/>
      <c r="I371" s="4" t="s">
        <v>823</v>
      </c>
      <c r="J371" s="7" t="n">
        <f aca="false">LEN(E371)-SUMPRODUCT(LEN(E371)-LEN(SUBSTITUTE(E371,{"，","。","？","！","、","…","；","：","《","》"," ","“","”","—","（","）","·"},"")))</f>
        <v>4</v>
      </c>
      <c r="K371" s="23"/>
    </row>
    <row r="372" customFormat="false" ht="36" hidden="false" customHeight="true" outlineLevel="0" collapsed="false">
      <c r="A372" s="7" t="s">
        <v>129</v>
      </c>
      <c r="B372" s="15" t="n">
        <v>3</v>
      </c>
      <c r="C372" s="7" t="n">
        <v>33</v>
      </c>
      <c r="D372" s="22" t="s">
        <v>646</v>
      </c>
      <c r="E372" s="4" t="s">
        <v>851</v>
      </c>
      <c r="F372" s="23" t="s">
        <v>852</v>
      </c>
      <c r="G372" s="22" t="s">
        <v>42</v>
      </c>
      <c r="H372" s="3"/>
      <c r="I372" s="3"/>
      <c r="J372" s="7" t="n">
        <f aca="false">LEN(E372)-SUMPRODUCT(LEN(E372)-LEN(SUBSTITUTE(E372,{"，","。","？","！","、","…","；","：","《","》"," ","“","”","—","（","）","·"},"")))</f>
        <v>12</v>
      </c>
      <c r="K372" s="23"/>
    </row>
    <row r="373" customFormat="false" ht="96" hidden="false" customHeight="true" outlineLevel="0" collapsed="false">
      <c r="A373" s="7" t="s">
        <v>129</v>
      </c>
      <c r="B373" s="15" t="n">
        <v>3</v>
      </c>
      <c r="C373" s="7" t="n">
        <v>34</v>
      </c>
      <c r="D373" s="22" t="s">
        <v>646</v>
      </c>
      <c r="E373" s="4" t="s">
        <v>853</v>
      </c>
      <c r="F373" s="23" t="s">
        <v>854</v>
      </c>
      <c r="G373" s="22" t="s">
        <v>34</v>
      </c>
      <c r="H373" s="3" t="s">
        <v>848</v>
      </c>
      <c r="I373" s="4" t="s">
        <v>855</v>
      </c>
      <c r="J373" s="7" t="n">
        <f aca="false">LEN(E373)-SUMPRODUCT(LEN(E373)-LEN(SUBSTITUTE(E373,{"，","。","？","！","、","…","；","：","《","》"," ","“","”","—","（","）","·"},"")))</f>
        <v>133</v>
      </c>
      <c r="K373" s="23"/>
    </row>
    <row r="374" customFormat="false" ht="21" hidden="false" customHeight="true" outlineLevel="0" collapsed="false">
      <c r="A374" s="7" t="s">
        <v>129</v>
      </c>
      <c r="B374" s="15" t="n">
        <v>3</v>
      </c>
      <c r="C374" s="7" t="n">
        <v>35</v>
      </c>
      <c r="D374" s="22" t="s">
        <v>222</v>
      </c>
      <c r="E374" s="4" t="s">
        <v>856</v>
      </c>
      <c r="F374" s="23"/>
      <c r="G374" s="22" t="s">
        <v>42</v>
      </c>
      <c r="H374" s="3"/>
      <c r="I374" s="3"/>
      <c r="J374" s="7" t="n">
        <f aca="false">LEN(E374)-SUMPRODUCT(LEN(E374)-LEN(SUBSTITUTE(E374,{"，","。","？","！","、","…","；","：","《","》"," ","“","”","—","（","）","·"},"")))</f>
        <v>5</v>
      </c>
      <c r="K374" s="23"/>
    </row>
    <row r="375" customFormat="false" ht="21" hidden="false" customHeight="true" outlineLevel="0" collapsed="false">
      <c r="A375" s="7" t="s">
        <v>129</v>
      </c>
      <c r="B375" s="15" t="n">
        <v>3</v>
      </c>
      <c r="C375" s="7" t="n">
        <v>36</v>
      </c>
      <c r="D375" s="22" t="s">
        <v>232</v>
      </c>
      <c r="E375" s="4" t="s">
        <v>857</v>
      </c>
      <c r="F375" s="23" t="s">
        <v>234</v>
      </c>
      <c r="G375" s="22" t="s">
        <v>42</v>
      </c>
      <c r="H375" s="3"/>
      <c r="I375" s="3"/>
      <c r="J375" s="7" t="n">
        <f aca="false">LEN(E375)-SUMPRODUCT(LEN(E375)-LEN(SUBSTITUTE(E375,{"，","。","？","！","、","…","；","：","《","》"," ","“","”","—","（","）","·"},"")))</f>
        <v>6</v>
      </c>
      <c r="K375" s="23"/>
    </row>
    <row r="376" customFormat="false" ht="21" hidden="false" customHeight="true" outlineLevel="0" collapsed="false">
      <c r="A376" s="7" t="s">
        <v>129</v>
      </c>
      <c r="B376" s="15" t="n">
        <v>3</v>
      </c>
      <c r="C376" s="7" t="n">
        <v>37</v>
      </c>
      <c r="D376" s="22" t="s">
        <v>646</v>
      </c>
      <c r="E376" s="4" t="s">
        <v>858</v>
      </c>
      <c r="F376" s="23" t="s">
        <v>840</v>
      </c>
      <c r="G376" s="22" t="s">
        <v>42</v>
      </c>
      <c r="H376" s="3"/>
      <c r="I376" s="4" t="s">
        <v>794</v>
      </c>
      <c r="J376" s="7" t="n">
        <f aca="false">LEN(E376)-SUMPRODUCT(LEN(E376)-LEN(SUBSTITUTE(E376,{"，","。","？","！","、","…","；","：","《","》"," ","“","”","—","（","）","·"},"")))</f>
        <v>7</v>
      </c>
      <c r="K376" s="23"/>
    </row>
    <row r="377" customFormat="false" ht="21" hidden="false" customHeight="true" outlineLevel="0" collapsed="false">
      <c r="A377" s="7" t="s">
        <v>129</v>
      </c>
      <c r="B377" s="15" t="n">
        <v>3</v>
      </c>
      <c r="C377" s="7" t="n">
        <v>38</v>
      </c>
      <c r="D377" s="22" t="s">
        <v>219</v>
      </c>
      <c r="E377" s="4" t="s">
        <v>859</v>
      </c>
      <c r="F377" s="23"/>
      <c r="G377" s="22" t="s">
        <v>42</v>
      </c>
      <c r="H377" s="3"/>
      <c r="I377" s="3"/>
      <c r="J377" s="7" t="n">
        <f aca="false">LEN(E377)-SUMPRODUCT(LEN(E377)-LEN(SUBSTITUTE(E377,{"，","。","？","！","、","…","；","：","《","》"," ","“","”","—","（","）","·"},"")))</f>
        <v>6</v>
      </c>
      <c r="K377" s="23"/>
    </row>
    <row r="378" customFormat="false" ht="36" hidden="false" customHeight="true" outlineLevel="0" collapsed="false">
      <c r="A378" s="7" t="s">
        <v>129</v>
      </c>
      <c r="B378" s="15" t="n">
        <v>3</v>
      </c>
      <c r="C378" s="7" t="n">
        <v>39</v>
      </c>
      <c r="D378" s="22" t="s">
        <v>646</v>
      </c>
      <c r="E378" s="4" t="s">
        <v>860</v>
      </c>
      <c r="F378" s="23" t="s">
        <v>840</v>
      </c>
      <c r="G378" s="22" t="s">
        <v>34</v>
      </c>
      <c r="H378" s="3"/>
      <c r="I378" s="3"/>
      <c r="J378" s="7" t="n">
        <f aca="false">LEN(E378)-SUMPRODUCT(LEN(E378)-LEN(SUBSTITUTE(E378,{"，","。","？","！","、","…","；","：","《","》"," ","“","”","—","（","）","·"},"")))</f>
        <v>30</v>
      </c>
      <c r="K378" s="23"/>
    </row>
    <row r="379" customFormat="false" ht="21" hidden="false" customHeight="true" outlineLevel="0" collapsed="false">
      <c r="A379" s="7" t="s">
        <v>129</v>
      </c>
      <c r="B379" s="15" t="n">
        <v>3</v>
      </c>
      <c r="C379" s="7" t="n">
        <v>40</v>
      </c>
      <c r="D379" s="22" t="s">
        <v>219</v>
      </c>
      <c r="E379" s="4" t="s">
        <v>861</v>
      </c>
      <c r="F379" s="23"/>
      <c r="G379" s="22" t="s">
        <v>42</v>
      </c>
      <c r="H379" s="3"/>
      <c r="I379" s="4" t="s">
        <v>846</v>
      </c>
      <c r="J379" s="7" t="n">
        <f aca="false">LEN(E379)-SUMPRODUCT(LEN(E379)-LEN(SUBSTITUTE(E379,{"，","。","？","！","、","…","；","：","《","》"," ","“","”","—","（","）","·"},"")))</f>
        <v>5</v>
      </c>
      <c r="K379" s="23"/>
    </row>
    <row r="380" customFormat="false" ht="36" hidden="false" customHeight="true" outlineLevel="0" collapsed="false">
      <c r="A380" s="7" t="s">
        <v>129</v>
      </c>
      <c r="B380" s="15" t="n">
        <v>3</v>
      </c>
      <c r="C380" s="7" t="n">
        <v>41</v>
      </c>
      <c r="D380" s="22" t="s">
        <v>481</v>
      </c>
      <c r="E380" s="4" t="s">
        <v>862</v>
      </c>
      <c r="F380" s="23"/>
      <c r="G380" s="22" t="s">
        <v>36</v>
      </c>
      <c r="H380" s="3"/>
      <c r="I380" s="4" t="s">
        <v>863</v>
      </c>
      <c r="J380" s="7" t="n">
        <f aca="false">LEN(E380)-SUMPRODUCT(LEN(E380)-LEN(SUBSTITUTE(E380,{"，","。","？","！","、","…","；","：","《","》"," ","“","”","—","（","）","·"},"")))</f>
        <v>26</v>
      </c>
      <c r="K380" s="23"/>
    </row>
    <row r="381" customFormat="false" ht="36" hidden="false" customHeight="true" outlineLevel="0" collapsed="false">
      <c r="A381" s="7" t="s">
        <v>129</v>
      </c>
      <c r="B381" s="15" t="n">
        <v>3</v>
      </c>
      <c r="C381" s="7" t="n">
        <v>42</v>
      </c>
      <c r="D381" s="22" t="s">
        <v>646</v>
      </c>
      <c r="E381" s="4" t="s">
        <v>864</v>
      </c>
      <c r="F381" s="23" t="s">
        <v>840</v>
      </c>
      <c r="G381" s="22" t="s">
        <v>36</v>
      </c>
      <c r="H381" s="3"/>
      <c r="I381" s="4" t="s">
        <v>794</v>
      </c>
      <c r="J381" s="7" t="n">
        <f aca="false">LEN(E381)-SUMPRODUCT(LEN(E381)-LEN(SUBSTITUTE(E381,{"，","。","？","！","、","…","；","：","《","》"," ","“","”","—","（","）","·"},"")))</f>
        <v>9</v>
      </c>
      <c r="K381" s="23"/>
    </row>
    <row r="382" customFormat="false" ht="36" hidden="false" customHeight="true" outlineLevel="0" collapsed="false">
      <c r="A382" s="7" t="s">
        <v>129</v>
      </c>
      <c r="B382" s="15" t="n">
        <v>3</v>
      </c>
      <c r="C382" s="7" t="n">
        <v>43</v>
      </c>
      <c r="D382" s="22" t="s">
        <v>219</v>
      </c>
      <c r="E382" s="4" t="s">
        <v>865</v>
      </c>
      <c r="F382" s="23"/>
      <c r="G382" s="22" t="s">
        <v>36</v>
      </c>
      <c r="H382" s="3"/>
      <c r="I382" s="3"/>
      <c r="J382" s="7" t="n">
        <f aca="false">LEN(E382)-SUMPRODUCT(LEN(E382)-LEN(SUBSTITUTE(E382,{"，","。","？","！","、","…","；","：","《","》"," ","“","”","—","（","）","·"},"")))</f>
        <v>14</v>
      </c>
      <c r="K382" s="23"/>
    </row>
    <row r="383" customFormat="false" ht="21" hidden="false" customHeight="true" outlineLevel="0" collapsed="false">
      <c r="A383" s="7" t="s">
        <v>129</v>
      </c>
      <c r="B383" s="15" t="n">
        <v>3</v>
      </c>
      <c r="C383" s="7" t="n">
        <v>44</v>
      </c>
      <c r="D383" s="22" t="s">
        <v>222</v>
      </c>
      <c r="E383" s="4" t="s">
        <v>866</v>
      </c>
      <c r="F383" s="23"/>
      <c r="G383" s="22" t="s">
        <v>42</v>
      </c>
      <c r="H383" s="3"/>
      <c r="I383" s="3"/>
      <c r="J383" s="7" t="n">
        <f aca="false">LEN(E383)-SUMPRODUCT(LEN(E383)-LEN(SUBSTITUTE(E383,{"，","。","？","！","、","…","；","：","《","》"," ","“","”","—","（","）","·"},"")))</f>
        <v>7</v>
      </c>
      <c r="K383" s="23"/>
    </row>
    <row r="384" customFormat="false" ht="21" hidden="false" customHeight="true" outlineLevel="0" collapsed="false">
      <c r="A384" s="7" t="s">
        <v>129</v>
      </c>
      <c r="B384" s="15" t="n">
        <v>3</v>
      </c>
      <c r="C384" s="7" t="n">
        <v>45</v>
      </c>
      <c r="D384" s="22" t="s">
        <v>232</v>
      </c>
      <c r="E384" s="4" t="s">
        <v>867</v>
      </c>
      <c r="F384" s="23" t="s">
        <v>234</v>
      </c>
      <c r="G384" s="22" t="s">
        <v>42</v>
      </c>
      <c r="H384" s="3"/>
      <c r="I384" s="3"/>
      <c r="J384" s="7" t="n">
        <f aca="false">LEN(E384)-SUMPRODUCT(LEN(E384)-LEN(SUBSTITUTE(E384,{"，","。","？","！","、","…","；","：","《","》"," ","“","”","—","（","）","·"},"")))</f>
        <v>9</v>
      </c>
      <c r="K384" s="23"/>
    </row>
    <row r="385" customFormat="false" ht="21" hidden="false" customHeight="true" outlineLevel="0" collapsed="false">
      <c r="A385" s="7" t="s">
        <v>129</v>
      </c>
      <c r="B385" s="15" t="n">
        <v>3</v>
      </c>
      <c r="C385" s="7" t="n">
        <v>46</v>
      </c>
      <c r="D385" s="22" t="s">
        <v>646</v>
      </c>
      <c r="E385" s="4" t="s">
        <v>868</v>
      </c>
      <c r="F385" s="23" t="s">
        <v>840</v>
      </c>
      <c r="G385" s="22" t="s">
        <v>42</v>
      </c>
      <c r="H385" s="3"/>
      <c r="I385" s="4" t="s">
        <v>794</v>
      </c>
      <c r="J385" s="7" t="n">
        <f aca="false">LEN(E385)-SUMPRODUCT(LEN(E385)-LEN(SUBSTITUTE(E385,{"，","。","？","！","、","…","；","：","《","》"," ","“","”","—","（","）","·"},"")))</f>
        <v>19</v>
      </c>
      <c r="K385" s="23"/>
    </row>
    <row r="386" customFormat="false" ht="36" hidden="false" customHeight="true" outlineLevel="0" collapsed="false">
      <c r="A386" s="7" t="s">
        <v>129</v>
      </c>
      <c r="B386" s="15" t="n">
        <v>3</v>
      </c>
      <c r="C386" s="7" t="n">
        <v>47</v>
      </c>
      <c r="D386" s="22" t="s">
        <v>219</v>
      </c>
      <c r="E386" s="4" t="s">
        <v>869</v>
      </c>
      <c r="F386" s="23" t="s">
        <v>870</v>
      </c>
      <c r="G386" s="22" t="s">
        <v>40</v>
      </c>
      <c r="H386" s="3" t="s">
        <v>871</v>
      </c>
      <c r="I386" s="3"/>
      <c r="J386" s="7" t="n">
        <f aca="false">LEN(E386)-SUMPRODUCT(LEN(E386)-LEN(SUBSTITUTE(E386,{"，","。","？","！","、","…","；","：","《","》"," ","“","”","—","（","）","·"},"")))</f>
        <v>29</v>
      </c>
      <c r="K386" s="23"/>
    </row>
    <row r="387" customFormat="false" ht="36" hidden="false" customHeight="true" outlineLevel="0" collapsed="false">
      <c r="A387" s="7" t="s">
        <v>129</v>
      </c>
      <c r="B387" s="15" t="n">
        <v>3</v>
      </c>
      <c r="C387" s="7" t="n">
        <v>48</v>
      </c>
      <c r="D387" s="22" t="s">
        <v>219</v>
      </c>
      <c r="E387" s="4" t="s">
        <v>872</v>
      </c>
      <c r="F387" s="23"/>
      <c r="G387" s="22" t="s">
        <v>40</v>
      </c>
      <c r="H387" s="3"/>
      <c r="I387" s="4" t="s">
        <v>810</v>
      </c>
      <c r="J387" s="7" t="n">
        <f aca="false">LEN(E387)-SUMPRODUCT(LEN(E387)-LEN(SUBSTITUTE(E387,{"，","。","？","！","、","…","；","：","《","》"," ","“","”","—","（","）","·"},"")))</f>
        <v>29</v>
      </c>
      <c r="K387" s="23"/>
    </row>
    <row r="388" customFormat="false" ht="21" hidden="false" customHeight="true" outlineLevel="0" collapsed="false">
      <c r="A388" s="7" t="s">
        <v>129</v>
      </c>
      <c r="B388" s="15" t="n">
        <v>3</v>
      </c>
      <c r="C388" s="7" t="n">
        <v>49</v>
      </c>
      <c r="D388" s="22" t="s">
        <v>481</v>
      </c>
      <c r="E388" s="4" t="s">
        <v>873</v>
      </c>
      <c r="F388" s="23"/>
      <c r="G388" s="22" t="s">
        <v>42</v>
      </c>
      <c r="H388" s="3" t="s">
        <v>874</v>
      </c>
      <c r="I388" s="3"/>
      <c r="J388" s="7" t="n">
        <f aca="false">LEN(E388)-SUMPRODUCT(LEN(E388)-LEN(SUBSTITUTE(E388,{"，","。","？","！","、","…","；","：","《","》"," ","“","”","—","（","）","·"},"")))</f>
        <v>10</v>
      </c>
      <c r="K388" s="23"/>
    </row>
    <row r="389" customFormat="false" ht="21" hidden="false" customHeight="true" outlineLevel="0" collapsed="false">
      <c r="A389" s="7" t="s">
        <v>129</v>
      </c>
      <c r="B389" s="15" t="n">
        <v>3</v>
      </c>
      <c r="C389" s="7" t="n">
        <v>50</v>
      </c>
      <c r="D389" s="22" t="s">
        <v>222</v>
      </c>
      <c r="E389" s="4" t="s">
        <v>875</v>
      </c>
      <c r="F389" s="23"/>
      <c r="G389" s="22" t="s">
        <v>42</v>
      </c>
      <c r="H389" s="3"/>
      <c r="I389" s="3"/>
      <c r="J389" s="7" t="n">
        <f aca="false">LEN(E389)-SUMPRODUCT(LEN(E389)-LEN(SUBSTITUTE(E389,{"，","。","？","！","、","…","；","：","《","》"," ","“","”","—","（","）","·"},"")))</f>
        <v>5</v>
      </c>
      <c r="K389" s="23"/>
    </row>
    <row r="390" customFormat="false" ht="21" hidden="false" customHeight="true" outlineLevel="0" collapsed="false">
      <c r="A390" s="7" t="s">
        <v>129</v>
      </c>
      <c r="B390" s="15" t="n">
        <v>3</v>
      </c>
      <c r="C390" s="7" t="n">
        <v>51</v>
      </c>
      <c r="D390" s="22" t="s">
        <v>232</v>
      </c>
      <c r="E390" s="4" t="s">
        <v>876</v>
      </c>
      <c r="F390" s="23" t="s">
        <v>234</v>
      </c>
      <c r="G390" s="22" t="s">
        <v>42</v>
      </c>
      <c r="H390" s="3"/>
      <c r="I390" s="3"/>
      <c r="J390" s="7" t="n">
        <f aca="false">LEN(E390)-SUMPRODUCT(LEN(E390)-LEN(SUBSTITUTE(E390,{"，","。","？","！","、","…","；","：","《","》"," ","“","”","—","（","）","·"},"")))</f>
        <v>9</v>
      </c>
      <c r="K390" s="23"/>
    </row>
    <row r="391" customFormat="false" ht="36" hidden="false" customHeight="true" outlineLevel="0" collapsed="false">
      <c r="A391" s="7" t="s">
        <v>134</v>
      </c>
      <c r="B391" s="15" t="n">
        <v>3</v>
      </c>
      <c r="C391" s="7" t="n">
        <v>1</v>
      </c>
      <c r="D391" s="22" t="s">
        <v>219</v>
      </c>
      <c r="E391" s="4" t="s">
        <v>877</v>
      </c>
      <c r="F391" s="23" t="s">
        <v>878</v>
      </c>
      <c r="G391" s="22" t="s">
        <v>40</v>
      </c>
      <c r="H391" s="3"/>
      <c r="I391" s="3"/>
      <c r="J391" s="7" t="n">
        <f aca="false">LEN(E391)-SUMPRODUCT(LEN(E391)-LEN(SUBSTITUTE(E391,{"，","。","？","！","、","…","；","：","《","》"," ","“","”","—","（","）","·"},"")))</f>
        <v>21</v>
      </c>
      <c r="K391" s="23"/>
    </row>
    <row r="392" customFormat="false" ht="21" hidden="false" customHeight="true" outlineLevel="0" collapsed="false">
      <c r="A392" s="7" t="s">
        <v>134</v>
      </c>
      <c r="B392" s="15" t="n">
        <v>3</v>
      </c>
      <c r="C392" s="7" t="n">
        <v>2</v>
      </c>
      <c r="D392" s="22" t="s">
        <v>222</v>
      </c>
      <c r="E392" s="4" t="s">
        <v>879</v>
      </c>
      <c r="F392" s="23" t="s">
        <v>880</v>
      </c>
      <c r="G392" s="22" t="s">
        <v>42</v>
      </c>
      <c r="H392" s="3"/>
      <c r="I392" s="4" t="s">
        <v>881</v>
      </c>
      <c r="J392" s="7" t="n">
        <f aca="false">LEN(E392)-SUMPRODUCT(LEN(E392)-LEN(SUBSTITUTE(E392,{"，","。","？","！","、","…","；","：","《","》"," ","“","”","—","（","）","·"},"")))</f>
        <v>4</v>
      </c>
      <c r="K392" s="23"/>
    </row>
    <row r="393" customFormat="false" ht="36" hidden="false" customHeight="true" outlineLevel="0" collapsed="false">
      <c r="A393" s="7" t="s">
        <v>134</v>
      </c>
      <c r="B393" s="15" t="n">
        <v>3</v>
      </c>
      <c r="C393" s="7" t="n">
        <v>3</v>
      </c>
      <c r="D393" s="22" t="s">
        <v>232</v>
      </c>
      <c r="E393" s="4" t="s">
        <v>882</v>
      </c>
      <c r="F393" s="23" t="s">
        <v>234</v>
      </c>
      <c r="G393" s="22" t="s">
        <v>34</v>
      </c>
      <c r="H393" s="3"/>
      <c r="I393" s="4" t="s">
        <v>883</v>
      </c>
      <c r="J393" s="7" t="n">
        <f aca="false">LEN(E393)-SUMPRODUCT(LEN(E393)-LEN(SUBSTITUTE(E393,{"，","。","？","！","、","…","；","：","《","》"," ","“","”","—","（","）","·"},"")))</f>
        <v>13</v>
      </c>
      <c r="K393" s="23"/>
    </row>
    <row r="394" customFormat="false" ht="36" hidden="false" customHeight="true" outlineLevel="0" collapsed="false">
      <c r="A394" s="7" t="s">
        <v>134</v>
      </c>
      <c r="B394" s="15" t="n">
        <v>3</v>
      </c>
      <c r="C394" s="7" t="n">
        <v>4</v>
      </c>
      <c r="D394" s="22" t="s">
        <v>481</v>
      </c>
      <c r="E394" s="4" t="s">
        <v>884</v>
      </c>
      <c r="F394" s="23"/>
      <c r="G394" s="22" t="s">
        <v>34</v>
      </c>
      <c r="H394" s="3" t="s">
        <v>401</v>
      </c>
      <c r="I394" s="4" t="s">
        <v>885</v>
      </c>
      <c r="J394" s="7" t="n">
        <f aca="false">LEN(E394)-SUMPRODUCT(LEN(E394)-LEN(SUBSTITUTE(E394,{"，","。","？","！","、","…","；","：","《","》"," ","“","”","—","（","）","·"},"")))</f>
        <v>23</v>
      </c>
      <c r="K394" s="23"/>
    </row>
    <row r="395" customFormat="false" ht="36" hidden="false" customHeight="true" outlineLevel="0" collapsed="false">
      <c r="A395" s="7" t="s">
        <v>134</v>
      </c>
      <c r="B395" s="15" t="n">
        <v>3</v>
      </c>
      <c r="C395" s="7" t="n">
        <v>5</v>
      </c>
      <c r="D395" s="22" t="s">
        <v>219</v>
      </c>
      <c r="E395" s="4" t="s">
        <v>886</v>
      </c>
      <c r="F395" s="23"/>
      <c r="G395" s="22" t="s">
        <v>34</v>
      </c>
      <c r="H395" s="3"/>
      <c r="I395" s="4" t="s">
        <v>887</v>
      </c>
      <c r="J395" s="7" t="n">
        <f aca="false">LEN(E395)-SUMPRODUCT(LEN(E395)-LEN(SUBSTITUTE(E395,{"，","。","？","！","、","…","；","：","《","》"," ","“","”","—","（","）","·"},"")))</f>
        <v>24</v>
      </c>
      <c r="K395" s="23"/>
    </row>
    <row r="396" customFormat="false" ht="36" hidden="false" customHeight="true" outlineLevel="0" collapsed="false">
      <c r="A396" s="7" t="s">
        <v>134</v>
      </c>
      <c r="B396" s="15" t="n">
        <v>3</v>
      </c>
      <c r="C396" s="7" t="n">
        <v>6</v>
      </c>
      <c r="D396" s="22" t="s">
        <v>222</v>
      </c>
      <c r="E396" s="4" t="s">
        <v>888</v>
      </c>
      <c r="F396" s="23" t="s">
        <v>722</v>
      </c>
      <c r="G396" s="22" t="s">
        <v>34</v>
      </c>
      <c r="H396" s="3"/>
      <c r="I396" s="4" t="s">
        <v>810</v>
      </c>
      <c r="J396" s="7" t="n">
        <f aca="false">LEN(E396)-SUMPRODUCT(LEN(E396)-LEN(SUBSTITUTE(E396,{"，","。","？","！","、","…","；","：","《","》"," ","“","”","—","（","）","·"},"")))</f>
        <v>10</v>
      </c>
      <c r="K396" s="23"/>
    </row>
    <row r="397" customFormat="false" ht="36" hidden="false" customHeight="true" outlineLevel="0" collapsed="false">
      <c r="A397" s="7" t="s">
        <v>134</v>
      </c>
      <c r="B397" s="15" t="n">
        <v>3</v>
      </c>
      <c r="C397" s="7" t="n">
        <v>7</v>
      </c>
      <c r="D397" s="22" t="s">
        <v>219</v>
      </c>
      <c r="E397" s="4" t="s">
        <v>889</v>
      </c>
      <c r="F397" s="23"/>
      <c r="G397" s="22" t="s">
        <v>34</v>
      </c>
      <c r="H397" s="3" t="s">
        <v>890</v>
      </c>
      <c r="I397" s="3"/>
      <c r="J397" s="7" t="n">
        <f aca="false">LEN(E397)-SUMPRODUCT(LEN(E397)-LEN(SUBSTITUTE(E397,{"，","。","？","！","、","…","；","：","《","》"," ","“","”","—","（","）","·"},"")))</f>
        <v>8</v>
      </c>
      <c r="K397" s="23"/>
    </row>
    <row r="398" customFormat="false" ht="36" hidden="false" customHeight="true" outlineLevel="0" collapsed="false">
      <c r="A398" s="7" t="s">
        <v>134</v>
      </c>
      <c r="B398" s="15" t="n">
        <v>3</v>
      </c>
      <c r="C398" s="7" t="n">
        <v>8</v>
      </c>
      <c r="D398" s="22" t="s">
        <v>232</v>
      </c>
      <c r="E398" s="4" t="s">
        <v>891</v>
      </c>
      <c r="F398" s="23" t="s">
        <v>234</v>
      </c>
      <c r="G398" s="22" t="s">
        <v>34</v>
      </c>
      <c r="H398" s="3" t="s">
        <v>890</v>
      </c>
      <c r="I398" s="4" t="s">
        <v>810</v>
      </c>
      <c r="J398" s="7" t="n">
        <f aca="false">LEN(E398)-SUMPRODUCT(LEN(E398)-LEN(SUBSTITUTE(E398,{"，","。","？","！","、","…","；","：","《","》"," ","“","”","—","（","）","·"},"")))</f>
        <v>14</v>
      </c>
      <c r="K398" s="23"/>
    </row>
    <row r="399" customFormat="false" ht="36" hidden="false" customHeight="true" outlineLevel="0" collapsed="false">
      <c r="A399" s="7" t="s">
        <v>134</v>
      </c>
      <c r="B399" s="15" t="n">
        <v>3</v>
      </c>
      <c r="C399" s="7" t="n">
        <v>9</v>
      </c>
      <c r="D399" s="22" t="s">
        <v>222</v>
      </c>
      <c r="E399" s="4" t="s">
        <v>892</v>
      </c>
      <c r="F399" s="23"/>
      <c r="G399" s="22" t="s">
        <v>34</v>
      </c>
      <c r="H399" s="3"/>
      <c r="I399" s="4" t="s">
        <v>810</v>
      </c>
      <c r="J399" s="7" t="n">
        <f aca="false">LEN(E399)-SUMPRODUCT(LEN(E399)-LEN(SUBSTITUTE(E399,{"，","。","？","！","、","…","；","：","《","》"," ","“","”","—","（","）","·"},"")))</f>
        <v>17</v>
      </c>
      <c r="K399" s="23"/>
    </row>
    <row r="400" customFormat="false" ht="36" hidden="false" customHeight="true" outlineLevel="0" collapsed="false">
      <c r="A400" s="7" t="s">
        <v>134</v>
      </c>
      <c r="B400" s="15" t="n">
        <v>3</v>
      </c>
      <c r="C400" s="7" t="n">
        <v>10</v>
      </c>
      <c r="D400" s="22" t="s">
        <v>219</v>
      </c>
      <c r="E400" s="4" t="s">
        <v>893</v>
      </c>
      <c r="F400" s="23"/>
      <c r="G400" s="22" t="s">
        <v>34</v>
      </c>
      <c r="H400" s="4" t="s">
        <v>894</v>
      </c>
      <c r="I400" s="4" t="s">
        <v>895</v>
      </c>
      <c r="J400" s="7" t="n">
        <f aca="false">LEN(E400)-SUMPRODUCT(LEN(E400)-LEN(SUBSTITUTE(E400,{"，","。","？","！","、","…","；","：","《","》"," ","“","”","—","（","）","·"},"")))</f>
        <v>39</v>
      </c>
      <c r="K400" s="23"/>
    </row>
    <row r="401" customFormat="false" ht="36" hidden="false" customHeight="true" outlineLevel="0" collapsed="false">
      <c r="A401" s="7" t="s">
        <v>134</v>
      </c>
      <c r="B401" s="15" t="n">
        <v>3</v>
      </c>
      <c r="C401" s="7" t="n">
        <v>11</v>
      </c>
      <c r="D401" s="22" t="s">
        <v>481</v>
      </c>
      <c r="E401" s="4" t="s">
        <v>896</v>
      </c>
      <c r="F401" s="23" t="s">
        <v>722</v>
      </c>
      <c r="G401" s="22" t="s">
        <v>34</v>
      </c>
      <c r="H401" s="3"/>
      <c r="I401" s="3"/>
      <c r="J401" s="7" t="n">
        <f aca="false">LEN(E401)-SUMPRODUCT(LEN(E401)-LEN(SUBSTITUTE(E401,{"，","。","？","！","、","…","；","：","《","》"," ","“","”","—","（","）","·"},"")))</f>
        <v>8</v>
      </c>
      <c r="K401" s="23"/>
    </row>
    <row r="402" customFormat="false" ht="36" hidden="false" customHeight="true" outlineLevel="0" collapsed="false">
      <c r="A402" s="7" t="s">
        <v>134</v>
      </c>
      <c r="B402" s="15" t="n">
        <v>3</v>
      </c>
      <c r="C402" s="7" t="n">
        <v>12</v>
      </c>
      <c r="D402" s="22" t="s">
        <v>222</v>
      </c>
      <c r="E402" s="4" t="s">
        <v>897</v>
      </c>
      <c r="F402" s="23" t="s">
        <v>234</v>
      </c>
      <c r="G402" s="22" t="s">
        <v>34</v>
      </c>
      <c r="H402" s="3"/>
      <c r="I402" s="3"/>
      <c r="J402" s="7" t="n">
        <f aca="false">LEN(E402)-SUMPRODUCT(LEN(E402)-LEN(SUBSTITUTE(E402,{"，","。","？","！","、","…","；","：","《","》"," ","“","”","—","（","）","·"},"")))</f>
        <v>7</v>
      </c>
      <c r="K402" s="23"/>
    </row>
    <row r="403" customFormat="false" ht="36" hidden="false" customHeight="true" outlineLevel="0" collapsed="false">
      <c r="A403" s="7" t="s">
        <v>134</v>
      </c>
      <c r="B403" s="15" t="n">
        <v>3</v>
      </c>
      <c r="C403" s="7" t="n">
        <v>13</v>
      </c>
      <c r="D403" s="22" t="s">
        <v>232</v>
      </c>
      <c r="E403" s="4" t="s">
        <v>898</v>
      </c>
      <c r="F403" s="23" t="s">
        <v>234</v>
      </c>
      <c r="G403" s="22" t="s">
        <v>34</v>
      </c>
      <c r="H403" s="3"/>
      <c r="I403" s="3"/>
      <c r="J403" s="7" t="n">
        <f aca="false">LEN(E403)-SUMPRODUCT(LEN(E403)-LEN(SUBSTITUTE(E403,{"，","。","？","！","、","…","；","：","《","》"," ","“","”","—","（","）","·"},"")))</f>
        <v>11</v>
      </c>
      <c r="K403" s="23"/>
    </row>
    <row r="404" customFormat="false" ht="36" hidden="false" customHeight="true" outlineLevel="0" collapsed="false">
      <c r="A404" s="7" t="s">
        <v>134</v>
      </c>
      <c r="B404" s="15" t="n">
        <v>3</v>
      </c>
      <c r="C404" s="7" t="n">
        <v>14</v>
      </c>
      <c r="D404" s="22" t="s">
        <v>219</v>
      </c>
      <c r="E404" s="4" t="s">
        <v>899</v>
      </c>
      <c r="F404" s="23"/>
      <c r="G404" s="22" t="s">
        <v>34</v>
      </c>
      <c r="H404" s="3"/>
      <c r="I404" s="4" t="s">
        <v>512</v>
      </c>
      <c r="J404" s="7" t="n">
        <f aca="false">LEN(E404)-SUMPRODUCT(LEN(E404)-LEN(SUBSTITUTE(E404,{"，","。","？","！","、","…","；","：","《","》"," ","“","”","—","（","）","·"},"")))</f>
        <v>20</v>
      </c>
      <c r="K404" s="23"/>
    </row>
    <row r="405" customFormat="false" ht="36" hidden="false" customHeight="true" outlineLevel="0" collapsed="false">
      <c r="A405" s="7" t="s">
        <v>134</v>
      </c>
      <c r="B405" s="15" t="n">
        <v>3</v>
      </c>
      <c r="C405" s="7" t="n">
        <v>15</v>
      </c>
      <c r="D405" s="22" t="s">
        <v>481</v>
      </c>
      <c r="E405" s="4" t="s">
        <v>900</v>
      </c>
      <c r="F405" s="23" t="s">
        <v>722</v>
      </c>
      <c r="G405" s="22" t="s">
        <v>34</v>
      </c>
      <c r="H405" s="3"/>
      <c r="I405" s="3"/>
      <c r="J405" s="7" t="n">
        <f aca="false">LEN(E405)-SUMPRODUCT(LEN(E405)-LEN(SUBSTITUTE(E405,{"，","。","？","！","、","…","；","：","《","》"," ","“","”","—","（","）","·"},"")))</f>
        <v>18</v>
      </c>
      <c r="K405" s="23"/>
    </row>
    <row r="406" customFormat="false" ht="36" hidden="false" customHeight="true" outlineLevel="0" collapsed="false">
      <c r="A406" s="7" t="s">
        <v>134</v>
      </c>
      <c r="B406" s="15" t="n">
        <v>3</v>
      </c>
      <c r="C406" s="7" t="n">
        <v>16</v>
      </c>
      <c r="D406" s="22" t="s">
        <v>219</v>
      </c>
      <c r="E406" s="4" t="s">
        <v>901</v>
      </c>
      <c r="F406" s="23"/>
      <c r="G406" s="22" t="s">
        <v>34</v>
      </c>
      <c r="H406" s="3"/>
      <c r="I406" s="3"/>
      <c r="J406" s="7" t="n">
        <f aca="false">LEN(E406)-SUMPRODUCT(LEN(E406)-LEN(SUBSTITUTE(E406,{"，","。","？","！","、","…","；","：","《","》"," ","“","”","—","（","）","·"},"")))</f>
        <v>13</v>
      </c>
      <c r="K406" s="23"/>
    </row>
    <row r="407" customFormat="false" ht="36" hidden="false" customHeight="true" outlineLevel="0" collapsed="false">
      <c r="A407" s="7" t="s">
        <v>134</v>
      </c>
      <c r="B407" s="15" t="n">
        <v>3</v>
      </c>
      <c r="C407" s="7" t="n">
        <v>17</v>
      </c>
      <c r="D407" s="22" t="s">
        <v>222</v>
      </c>
      <c r="E407" s="4" t="s">
        <v>902</v>
      </c>
      <c r="F407" s="23" t="s">
        <v>722</v>
      </c>
      <c r="G407" s="22" t="s">
        <v>36</v>
      </c>
      <c r="H407" s="3"/>
      <c r="I407" s="3"/>
      <c r="J407" s="7" t="n">
        <f aca="false">LEN(E407)-SUMPRODUCT(LEN(E407)-LEN(SUBSTITUTE(E407,{"，","。","？","！","、","…","；","：","《","》"," ","“","”","—","（","）","·"},"")))</f>
        <v>6</v>
      </c>
      <c r="K407" s="23"/>
    </row>
    <row r="408" customFormat="false" ht="36" hidden="false" customHeight="true" outlineLevel="0" collapsed="false">
      <c r="A408" s="7" t="s">
        <v>134</v>
      </c>
      <c r="B408" s="15" t="n">
        <v>3</v>
      </c>
      <c r="C408" s="7" t="n">
        <v>18</v>
      </c>
      <c r="D408" s="22" t="s">
        <v>232</v>
      </c>
      <c r="E408" s="4" t="s">
        <v>903</v>
      </c>
      <c r="F408" s="23" t="s">
        <v>234</v>
      </c>
      <c r="G408" s="22" t="s">
        <v>36</v>
      </c>
      <c r="H408" s="3"/>
      <c r="I408" s="3"/>
      <c r="J408" s="7" t="n">
        <f aca="false">LEN(E408)-SUMPRODUCT(LEN(E408)-LEN(SUBSTITUTE(E408,{"，","。","？","！","、","…","；","：","《","》"," ","“","”","—","（","）","·"},"")))</f>
        <v>12</v>
      </c>
      <c r="K408" s="23"/>
    </row>
    <row r="409" customFormat="false" ht="21" hidden="false" customHeight="true" outlineLevel="0" collapsed="false">
      <c r="A409" s="7" t="s">
        <v>134</v>
      </c>
      <c r="B409" s="15" t="n">
        <v>3</v>
      </c>
      <c r="C409" s="7" t="n">
        <v>19</v>
      </c>
      <c r="D409" s="22" t="s">
        <v>481</v>
      </c>
      <c r="E409" s="4" t="s">
        <v>904</v>
      </c>
      <c r="F409" s="23"/>
      <c r="G409" s="22" t="s">
        <v>42</v>
      </c>
      <c r="H409" s="3"/>
      <c r="I409" s="4" t="s">
        <v>794</v>
      </c>
      <c r="J409" s="7" t="n">
        <f aca="false">LEN(E409)-SUMPRODUCT(LEN(E409)-LEN(SUBSTITUTE(E409,{"，","。","？","！","、","…","；","：","《","》"," ","“","”","—","（","）","·"},"")))</f>
        <v>17</v>
      </c>
      <c r="K409" s="23"/>
    </row>
    <row r="410" customFormat="false" ht="21" hidden="false" customHeight="true" outlineLevel="0" collapsed="false">
      <c r="A410" s="7" t="s">
        <v>134</v>
      </c>
      <c r="B410" s="15" t="n">
        <v>3</v>
      </c>
      <c r="C410" s="7" t="n">
        <v>20</v>
      </c>
      <c r="D410" s="22" t="s">
        <v>219</v>
      </c>
      <c r="E410" s="4" t="s">
        <v>905</v>
      </c>
      <c r="F410" s="23"/>
      <c r="G410" s="22" t="s">
        <v>42</v>
      </c>
      <c r="H410" s="3" t="s">
        <v>401</v>
      </c>
      <c r="I410" s="4" t="s">
        <v>846</v>
      </c>
      <c r="J410" s="7" t="n">
        <f aca="false">LEN(E410)-SUMPRODUCT(LEN(E410)-LEN(SUBSTITUTE(E410,{"，","。","？","！","、","…","；","：","《","》"," ","“","”","—","（","）","·"},"")))</f>
        <v>13</v>
      </c>
      <c r="K410" s="23"/>
    </row>
    <row r="411" customFormat="false" ht="21" hidden="false" customHeight="true" outlineLevel="0" collapsed="false">
      <c r="A411" s="7" t="s">
        <v>134</v>
      </c>
      <c r="B411" s="15" t="n">
        <v>3</v>
      </c>
      <c r="C411" s="7" t="n">
        <v>21</v>
      </c>
      <c r="D411" s="22" t="s">
        <v>222</v>
      </c>
      <c r="E411" s="4" t="s">
        <v>906</v>
      </c>
      <c r="F411" s="23"/>
      <c r="G411" s="22" t="s">
        <v>42</v>
      </c>
      <c r="H411" s="3"/>
      <c r="I411" s="3"/>
      <c r="J411" s="7" t="n">
        <f aca="false">LEN(E411)-SUMPRODUCT(LEN(E411)-LEN(SUBSTITUTE(E411,{"，","。","？","！","、","…","；","：","《","》"," ","“","”","—","（","）","·"},"")))</f>
        <v>8</v>
      </c>
      <c r="K411" s="23"/>
    </row>
    <row r="412" customFormat="false" ht="21" hidden="false" customHeight="true" outlineLevel="0" collapsed="false">
      <c r="A412" s="7" t="s">
        <v>134</v>
      </c>
      <c r="B412" s="15" t="n">
        <v>3</v>
      </c>
      <c r="C412" s="7" t="n">
        <v>22</v>
      </c>
      <c r="D412" s="22" t="s">
        <v>232</v>
      </c>
      <c r="E412" s="4" t="s">
        <v>907</v>
      </c>
      <c r="F412" s="23" t="s">
        <v>234</v>
      </c>
      <c r="G412" s="22" t="s">
        <v>42</v>
      </c>
      <c r="H412" s="3"/>
      <c r="I412" s="3"/>
      <c r="J412" s="7" t="n">
        <f aca="false">LEN(E412)-SUMPRODUCT(LEN(E412)-LEN(SUBSTITUTE(E412,{"，","。","？","！","、","…","；","：","《","》"," ","“","”","—","（","）","·"},"")))</f>
        <v>7</v>
      </c>
      <c r="K412" s="23"/>
    </row>
    <row r="413" customFormat="false" ht="36" hidden="false" customHeight="true" outlineLevel="0" collapsed="false">
      <c r="A413" s="7" t="s">
        <v>134</v>
      </c>
      <c r="B413" s="15" t="n">
        <v>3</v>
      </c>
      <c r="C413" s="7" t="n">
        <v>23</v>
      </c>
      <c r="D413" s="22" t="s">
        <v>646</v>
      </c>
      <c r="E413" s="4" t="s">
        <v>908</v>
      </c>
      <c r="F413" s="23" t="s">
        <v>909</v>
      </c>
      <c r="G413" s="22" t="s">
        <v>42</v>
      </c>
      <c r="H413" s="3"/>
      <c r="I413" s="4" t="s">
        <v>910</v>
      </c>
      <c r="J413" s="7" t="n">
        <f aca="false">LEN(E413)-SUMPRODUCT(LEN(E413)-LEN(SUBSTITUTE(E413,{"，","。","？","！","、","…","；","：","《","》"," ","“","”","—","（","）","·"},"")))</f>
        <v>22</v>
      </c>
      <c r="K413" s="23"/>
    </row>
    <row r="414" customFormat="false" ht="21" hidden="false" customHeight="true" outlineLevel="0" collapsed="false">
      <c r="A414" s="7" t="s">
        <v>134</v>
      </c>
      <c r="B414" s="15" t="n">
        <v>3</v>
      </c>
      <c r="C414" s="7" t="n">
        <v>24</v>
      </c>
      <c r="D414" s="22" t="s">
        <v>481</v>
      </c>
      <c r="E414" s="4" t="s">
        <v>911</v>
      </c>
      <c r="F414" s="23"/>
      <c r="G414" s="22" t="s">
        <v>42</v>
      </c>
      <c r="H414" s="3"/>
      <c r="I414" s="4" t="s">
        <v>846</v>
      </c>
      <c r="J414" s="7" t="n">
        <f aca="false">LEN(E414)-SUMPRODUCT(LEN(E414)-LEN(SUBSTITUTE(E414,{"，","。","？","！","、","…","；","：","《","》"," ","“","”","—","（","）","·"},"")))</f>
        <v>17</v>
      </c>
      <c r="K414" s="23"/>
    </row>
    <row r="415" customFormat="false" ht="96" hidden="false" customHeight="true" outlineLevel="0" collapsed="false">
      <c r="A415" s="7" t="s">
        <v>134</v>
      </c>
      <c r="B415" s="15" t="n">
        <v>3</v>
      </c>
      <c r="C415" s="7" t="n">
        <v>25</v>
      </c>
      <c r="D415" s="22" t="s">
        <v>481</v>
      </c>
      <c r="E415" s="4" t="s">
        <v>912</v>
      </c>
      <c r="F415" s="23" t="s">
        <v>913</v>
      </c>
      <c r="G415" s="22" t="s">
        <v>34</v>
      </c>
      <c r="H415" s="3" t="s">
        <v>914</v>
      </c>
      <c r="I415" s="4" t="s">
        <v>915</v>
      </c>
      <c r="J415" s="7" t="n">
        <f aca="false">LEN(E415)-SUMPRODUCT(LEN(E415)-LEN(SUBSTITUTE(E415,{"，","。","？","！","、","…","；","：","《","》"," ","“","”","—","（","）","·"},"")))</f>
        <v>132</v>
      </c>
      <c r="K415" s="23"/>
    </row>
    <row r="416" customFormat="false" ht="21" hidden="false" customHeight="true" outlineLevel="0" collapsed="false">
      <c r="A416" s="7" t="s">
        <v>134</v>
      </c>
      <c r="B416" s="15" t="n">
        <v>3</v>
      </c>
      <c r="C416" s="7" t="n">
        <v>26</v>
      </c>
      <c r="D416" s="22" t="s">
        <v>222</v>
      </c>
      <c r="E416" s="4" t="s">
        <v>916</v>
      </c>
      <c r="F416" s="23" t="s">
        <v>234</v>
      </c>
      <c r="G416" s="22" t="s">
        <v>42</v>
      </c>
      <c r="H416" s="3"/>
      <c r="I416" s="3"/>
      <c r="J416" s="7" t="n">
        <f aca="false">LEN(E416)-SUMPRODUCT(LEN(E416)-LEN(SUBSTITUTE(E416,{"，","。","？","！","、","…","；","：","《","》"," ","“","”","—","（","）","·"},"")))</f>
        <v>7</v>
      </c>
      <c r="K416" s="23"/>
    </row>
    <row r="417" customFormat="false" ht="36" hidden="false" customHeight="true" outlineLevel="0" collapsed="false">
      <c r="A417" s="7" t="s">
        <v>134</v>
      </c>
      <c r="B417" s="15" t="n">
        <v>3</v>
      </c>
      <c r="C417" s="7" t="n">
        <v>27</v>
      </c>
      <c r="D417" s="22" t="s">
        <v>646</v>
      </c>
      <c r="E417" s="4" t="s">
        <v>917</v>
      </c>
      <c r="F417" s="23"/>
      <c r="G417" s="22" t="s">
        <v>36</v>
      </c>
      <c r="H417" s="3"/>
      <c r="I417" s="4" t="s">
        <v>887</v>
      </c>
      <c r="J417" s="7" t="n">
        <f aca="false">LEN(E417)-SUMPRODUCT(LEN(E417)-LEN(SUBSTITUTE(E417,{"，","。","？","！","、","…","；","：","《","》"," ","“","”","—","（","）","·"},"")))</f>
        <v>34</v>
      </c>
      <c r="K417" s="23"/>
    </row>
    <row r="418" customFormat="false" ht="36" hidden="false" customHeight="true" outlineLevel="0" collapsed="false">
      <c r="A418" s="7" t="s">
        <v>134</v>
      </c>
      <c r="B418" s="15" t="n">
        <v>3</v>
      </c>
      <c r="C418" s="7" t="n">
        <v>28</v>
      </c>
      <c r="D418" s="22" t="s">
        <v>232</v>
      </c>
      <c r="E418" s="4" t="s">
        <v>918</v>
      </c>
      <c r="F418" s="23" t="s">
        <v>722</v>
      </c>
      <c r="G418" s="22" t="s">
        <v>34</v>
      </c>
      <c r="H418" s="3"/>
      <c r="I418" s="3"/>
      <c r="J418" s="7" t="n">
        <f aca="false">LEN(E418)-SUMPRODUCT(LEN(E418)-LEN(SUBSTITUTE(E418,{"，","。","？","！","、","…","；","：","《","》"," ","“","”","—","（","）","·"},"")))</f>
        <v>8</v>
      </c>
      <c r="K418" s="23"/>
    </row>
    <row r="419" customFormat="false" ht="36" hidden="false" customHeight="true" outlineLevel="0" collapsed="false">
      <c r="A419" s="7" t="s">
        <v>134</v>
      </c>
      <c r="B419" s="15" t="n">
        <v>3</v>
      </c>
      <c r="C419" s="7" t="n">
        <v>29</v>
      </c>
      <c r="D419" s="22" t="s">
        <v>222</v>
      </c>
      <c r="E419" s="4" t="s">
        <v>919</v>
      </c>
      <c r="F419" s="23" t="s">
        <v>234</v>
      </c>
      <c r="G419" s="22" t="s">
        <v>36</v>
      </c>
      <c r="H419" s="3"/>
      <c r="I419" s="3"/>
      <c r="J419" s="7" t="n">
        <f aca="false">LEN(E419)-SUMPRODUCT(LEN(E419)-LEN(SUBSTITUTE(E419,{"，","。","？","！","、","…","；","：","《","》"," ","“","”","—","（","）","·"},"")))</f>
        <v>8</v>
      </c>
      <c r="K419" s="23"/>
    </row>
    <row r="420" customFormat="false" ht="21" hidden="false" customHeight="true" outlineLevel="0" collapsed="false">
      <c r="A420" s="7" t="s">
        <v>134</v>
      </c>
      <c r="B420" s="15" t="n">
        <v>3</v>
      </c>
      <c r="C420" s="7" t="n">
        <v>30</v>
      </c>
      <c r="D420" s="22" t="s">
        <v>646</v>
      </c>
      <c r="E420" s="4" t="s">
        <v>920</v>
      </c>
      <c r="F420" s="23"/>
      <c r="G420" s="22" t="s">
        <v>42</v>
      </c>
      <c r="H420" s="3"/>
      <c r="I420" s="3"/>
      <c r="J420" s="7" t="n">
        <f aca="false">LEN(E420)-SUMPRODUCT(LEN(E420)-LEN(SUBSTITUTE(E420,{"，","。","？","！","、","…","；","：","《","》"," ","“","”","—","（","）","·"},"")))</f>
        <v>21</v>
      </c>
      <c r="K420" s="23"/>
    </row>
    <row r="421" customFormat="false" ht="36" hidden="false" customHeight="true" outlineLevel="0" collapsed="false">
      <c r="A421" s="7" t="s">
        <v>134</v>
      </c>
      <c r="B421" s="15" t="n">
        <v>3</v>
      </c>
      <c r="C421" s="7" t="n">
        <v>31</v>
      </c>
      <c r="D421" s="22" t="s">
        <v>646</v>
      </c>
      <c r="E421" s="4" t="s">
        <v>921</v>
      </c>
      <c r="F421" s="23"/>
      <c r="G421" s="22" t="s">
        <v>32</v>
      </c>
      <c r="H421" s="3" t="s">
        <v>922</v>
      </c>
      <c r="I421" s="4" t="s">
        <v>923</v>
      </c>
      <c r="J421" s="7" t="n">
        <f aca="false">LEN(E421)-SUMPRODUCT(LEN(E421)-LEN(SUBSTITUTE(E421,{"，","。","？","！","、","…","；","：","《","》"," ","“","”","—","（","）","·"},"")))</f>
        <v>24</v>
      </c>
      <c r="K421" s="23"/>
    </row>
    <row r="422" customFormat="false" ht="21" hidden="false" customHeight="true" outlineLevel="0" collapsed="false">
      <c r="A422" s="7" t="s">
        <v>134</v>
      </c>
      <c r="B422" s="15" t="n">
        <v>3</v>
      </c>
      <c r="C422" s="7" t="n">
        <v>32</v>
      </c>
      <c r="D422" s="22" t="s">
        <v>232</v>
      </c>
      <c r="E422" s="4" t="s">
        <v>924</v>
      </c>
      <c r="F422" s="23" t="s">
        <v>234</v>
      </c>
      <c r="G422" s="22" t="s">
        <v>32</v>
      </c>
      <c r="H422" s="3" t="s">
        <v>925</v>
      </c>
      <c r="I422" s="3"/>
      <c r="J422" s="7" t="n">
        <f aca="false">LEN(E422)-SUMPRODUCT(LEN(E422)-LEN(SUBSTITUTE(E422,{"，","。","？","！","、","…","；","：","《","》"," ","“","”","—","（","）","·"},"")))</f>
        <v>3</v>
      </c>
      <c r="K422" s="23"/>
    </row>
    <row r="423" customFormat="false" ht="21" hidden="false" customHeight="true" outlineLevel="0" collapsed="false">
      <c r="A423" s="7" t="s">
        <v>134</v>
      </c>
      <c r="B423" s="15" t="n">
        <v>3</v>
      </c>
      <c r="C423" s="7" t="n">
        <v>33</v>
      </c>
      <c r="D423" s="22" t="s">
        <v>222</v>
      </c>
      <c r="E423" s="4" t="s">
        <v>926</v>
      </c>
      <c r="F423" s="23" t="s">
        <v>234</v>
      </c>
      <c r="G423" s="22" t="s">
        <v>32</v>
      </c>
      <c r="H423" s="3" t="s">
        <v>927</v>
      </c>
      <c r="I423" s="4" t="s">
        <v>887</v>
      </c>
      <c r="J423" s="7" t="n">
        <f aca="false">LEN(E423)-SUMPRODUCT(LEN(E423)-LEN(SUBSTITUTE(E423,{"，","。","？","！","、","…","；","：","《","》"," ","“","”","—","（","）","·"},"")))</f>
        <v>16</v>
      </c>
      <c r="K423" s="23"/>
    </row>
    <row r="424" customFormat="false" ht="21" hidden="false" customHeight="true" outlineLevel="0" collapsed="false">
      <c r="A424" s="7" t="s">
        <v>134</v>
      </c>
      <c r="B424" s="15" t="n">
        <v>3</v>
      </c>
      <c r="C424" s="7" t="n">
        <v>34</v>
      </c>
      <c r="D424" s="22" t="s">
        <v>481</v>
      </c>
      <c r="E424" s="4" t="s">
        <v>928</v>
      </c>
      <c r="F424" s="23"/>
      <c r="G424" s="22" t="s">
        <v>32</v>
      </c>
      <c r="H424" s="3" t="s">
        <v>929</v>
      </c>
      <c r="I424" s="4" t="s">
        <v>930</v>
      </c>
      <c r="J424" s="7" t="n">
        <f aca="false">LEN(E424)-SUMPRODUCT(LEN(E424)-LEN(SUBSTITUTE(E424,{"，","。","？","！","、","…","；","：","《","》"," ","“","”","—","（","）","·"},"")))</f>
        <v>15</v>
      </c>
      <c r="K424" s="23"/>
    </row>
    <row r="425" customFormat="false" ht="21" hidden="false" customHeight="true" outlineLevel="0" collapsed="false">
      <c r="A425" s="7" t="s">
        <v>134</v>
      </c>
      <c r="B425" s="15" t="n">
        <v>3</v>
      </c>
      <c r="C425" s="7" t="n">
        <v>35</v>
      </c>
      <c r="D425" s="22" t="s">
        <v>646</v>
      </c>
      <c r="E425" s="4" t="s">
        <v>931</v>
      </c>
      <c r="F425" s="23"/>
      <c r="G425" s="22" t="s">
        <v>32</v>
      </c>
      <c r="H425" s="3" t="s">
        <v>932</v>
      </c>
      <c r="I425" s="4" t="s">
        <v>930</v>
      </c>
      <c r="J425" s="7" t="n">
        <f aca="false">LEN(E425)-SUMPRODUCT(LEN(E425)-LEN(SUBSTITUTE(E425,{"，","。","？","！","、","…","；","：","《","》"," ","“","”","—","（","）","·"},"")))</f>
        <v>14</v>
      </c>
      <c r="K425" s="23"/>
    </row>
    <row r="426" customFormat="false" ht="21" hidden="false" customHeight="true" outlineLevel="0" collapsed="false">
      <c r="A426" s="7" t="s">
        <v>134</v>
      </c>
      <c r="B426" s="15" t="n">
        <v>3</v>
      </c>
      <c r="C426" s="7" t="n">
        <v>36</v>
      </c>
      <c r="D426" s="22" t="s">
        <v>481</v>
      </c>
      <c r="E426" s="4" t="s">
        <v>933</v>
      </c>
      <c r="F426" s="23"/>
      <c r="G426" s="22" t="s">
        <v>32</v>
      </c>
      <c r="H426" s="3"/>
      <c r="I426" s="4" t="s">
        <v>930</v>
      </c>
      <c r="J426" s="7" t="n">
        <f aca="false">LEN(E426)-SUMPRODUCT(LEN(E426)-LEN(SUBSTITUTE(E426,{"，","。","？","！","、","…","；","：","《","》"," ","“","”","—","（","）","·"},"")))</f>
        <v>15</v>
      </c>
      <c r="K426" s="23"/>
    </row>
    <row r="427" customFormat="false" ht="21" hidden="false" customHeight="true" outlineLevel="0" collapsed="false">
      <c r="A427" s="7" t="s">
        <v>134</v>
      </c>
      <c r="B427" s="15" t="n">
        <v>3</v>
      </c>
      <c r="C427" s="7" t="n">
        <v>37</v>
      </c>
      <c r="D427" s="22" t="s">
        <v>646</v>
      </c>
      <c r="E427" s="4" t="s">
        <v>934</v>
      </c>
      <c r="F427" s="23"/>
      <c r="G427" s="22" t="s">
        <v>32</v>
      </c>
      <c r="H427" s="3" t="s">
        <v>935</v>
      </c>
      <c r="I427" s="3"/>
      <c r="J427" s="7" t="n">
        <f aca="false">LEN(E427)-SUMPRODUCT(LEN(E427)-LEN(SUBSTITUTE(E427,{"，","。","？","！","、","…","；","：","《","》"," ","“","”","—","（","）","·"},"")))</f>
        <v>19</v>
      </c>
      <c r="K427" s="23"/>
    </row>
    <row r="428" customFormat="false" ht="36" hidden="false" customHeight="true" outlineLevel="0" collapsed="false">
      <c r="A428" s="7" t="s">
        <v>134</v>
      </c>
      <c r="B428" s="15" t="n">
        <v>3</v>
      </c>
      <c r="C428" s="7" t="n">
        <v>38</v>
      </c>
      <c r="D428" s="22" t="s">
        <v>481</v>
      </c>
      <c r="E428" s="4" t="s">
        <v>936</v>
      </c>
      <c r="F428" s="23"/>
      <c r="G428" s="22" t="s">
        <v>34</v>
      </c>
      <c r="H428" s="4" t="s">
        <v>894</v>
      </c>
      <c r="I428" s="4" t="s">
        <v>937</v>
      </c>
      <c r="J428" s="7" t="n">
        <f aca="false">LEN(E428)-SUMPRODUCT(LEN(E428)-LEN(SUBSTITUTE(E428,{"，","。","？","！","、","…","；","：","《","》"," ","“","”","—","（","）","·"},"")))</f>
        <v>19</v>
      </c>
      <c r="K428" s="23"/>
    </row>
    <row r="429" customFormat="false" ht="36" hidden="false" customHeight="true" outlineLevel="0" collapsed="false">
      <c r="A429" s="7" t="s">
        <v>134</v>
      </c>
      <c r="B429" s="15" t="n">
        <v>3</v>
      </c>
      <c r="C429" s="7" t="n">
        <v>39</v>
      </c>
      <c r="D429" s="22" t="s">
        <v>646</v>
      </c>
      <c r="E429" s="4" t="s">
        <v>938</v>
      </c>
      <c r="F429" s="23"/>
      <c r="G429" s="22" t="s">
        <v>34</v>
      </c>
      <c r="H429" s="4" t="s">
        <v>894</v>
      </c>
      <c r="I429" s="4" t="s">
        <v>939</v>
      </c>
      <c r="J429" s="7" t="n">
        <f aca="false">LEN(E429)-SUMPRODUCT(LEN(E429)-LEN(SUBSTITUTE(E429,{"，","。","？","！","、","…","；","：","《","》"," ","“","”","—","（","）","·"},"")))</f>
        <v>27</v>
      </c>
      <c r="K429" s="23"/>
    </row>
    <row r="430" customFormat="false" ht="36" hidden="false" customHeight="true" outlineLevel="0" collapsed="false">
      <c r="A430" s="7" t="s">
        <v>134</v>
      </c>
      <c r="B430" s="15" t="n">
        <v>3</v>
      </c>
      <c r="C430" s="7" t="n">
        <v>40</v>
      </c>
      <c r="D430" s="22" t="s">
        <v>232</v>
      </c>
      <c r="E430" s="4" t="s">
        <v>940</v>
      </c>
      <c r="F430" s="23"/>
      <c r="G430" s="22" t="s">
        <v>34</v>
      </c>
      <c r="H430" s="3"/>
      <c r="I430" s="4" t="s">
        <v>810</v>
      </c>
      <c r="J430" s="7" t="n">
        <f aca="false">LEN(E430)-SUMPRODUCT(LEN(E430)-LEN(SUBSTITUTE(E430,{"，","。","？","！","、","…","；","：","《","》"," ","“","”","—","（","）","·"},"")))</f>
        <v>10</v>
      </c>
      <c r="K430" s="23"/>
    </row>
    <row r="431" customFormat="false" ht="36" hidden="false" customHeight="true" outlineLevel="0" collapsed="false">
      <c r="A431" s="7" t="s">
        <v>134</v>
      </c>
      <c r="B431" s="15" t="n">
        <v>3</v>
      </c>
      <c r="C431" s="7" t="n">
        <v>41</v>
      </c>
      <c r="D431" s="22" t="s">
        <v>646</v>
      </c>
      <c r="E431" s="4" t="s">
        <v>941</v>
      </c>
      <c r="F431" s="23"/>
      <c r="G431" s="22" t="s">
        <v>34</v>
      </c>
      <c r="H431" s="3" t="s">
        <v>942</v>
      </c>
      <c r="I431" s="4" t="s">
        <v>810</v>
      </c>
      <c r="J431" s="7" t="n">
        <f aca="false">LEN(E431)-SUMPRODUCT(LEN(E431)-LEN(SUBSTITUTE(E431,{"，","。","？","！","、","…","；","：","《","》"," ","“","”","—","（","）","·"},"")))</f>
        <v>25</v>
      </c>
      <c r="K431" s="23"/>
    </row>
    <row r="432" customFormat="false" ht="21" hidden="false" customHeight="true" outlineLevel="0" collapsed="false">
      <c r="A432" s="7" t="s">
        <v>134</v>
      </c>
      <c r="B432" s="15" t="n">
        <v>3</v>
      </c>
      <c r="C432" s="7" t="n">
        <v>42</v>
      </c>
      <c r="D432" s="22" t="s">
        <v>222</v>
      </c>
      <c r="E432" s="4" t="s">
        <v>943</v>
      </c>
      <c r="F432" s="23"/>
      <c r="G432" s="22" t="s">
        <v>42</v>
      </c>
      <c r="H432" s="3"/>
      <c r="I432" s="3"/>
      <c r="J432" s="7" t="n">
        <f aca="false">LEN(E432)-SUMPRODUCT(LEN(E432)-LEN(SUBSTITUTE(E432,{"，","。","？","！","、","…","；","：","《","》"," ","“","”","—","（","）","·"},"")))</f>
        <v>4</v>
      </c>
      <c r="K432" s="23"/>
    </row>
    <row r="433" customFormat="false" ht="21" hidden="false" customHeight="true" outlineLevel="0" collapsed="false">
      <c r="A433" s="7" t="s">
        <v>134</v>
      </c>
      <c r="B433" s="15" t="n">
        <v>3</v>
      </c>
      <c r="C433" s="7" t="n">
        <v>43</v>
      </c>
      <c r="D433" s="22" t="s">
        <v>232</v>
      </c>
      <c r="E433" s="4" t="s">
        <v>944</v>
      </c>
      <c r="F433" s="23" t="s">
        <v>234</v>
      </c>
      <c r="G433" s="22" t="s">
        <v>42</v>
      </c>
      <c r="H433" s="3"/>
      <c r="I433" s="3"/>
      <c r="J433" s="7" t="n">
        <f aca="false">LEN(E433)-SUMPRODUCT(LEN(E433)-LEN(SUBSTITUTE(E433,{"，","。","？","！","、","…","；","：","《","》"," ","“","”","—","（","）","·"},"")))</f>
        <v>8</v>
      </c>
      <c r="K433" s="23"/>
    </row>
    <row r="434" customFormat="false" ht="36" hidden="false" customHeight="true" outlineLevel="0" collapsed="false">
      <c r="A434" s="7" t="s">
        <v>134</v>
      </c>
      <c r="B434" s="15" t="n">
        <v>3</v>
      </c>
      <c r="C434" s="7" t="n">
        <v>44</v>
      </c>
      <c r="D434" s="22" t="s">
        <v>481</v>
      </c>
      <c r="E434" s="4" t="s">
        <v>945</v>
      </c>
      <c r="F434" s="23"/>
      <c r="G434" s="22" t="s">
        <v>42</v>
      </c>
      <c r="H434" s="3"/>
      <c r="I434" s="4" t="s">
        <v>863</v>
      </c>
      <c r="J434" s="7" t="n">
        <f aca="false">LEN(E434)-SUMPRODUCT(LEN(E434)-LEN(SUBSTITUTE(E434,{"，","。","？","！","、","…","；","：","《","》"," ","“","”","—","（","）","·"},"")))</f>
        <v>25</v>
      </c>
      <c r="K434" s="23"/>
    </row>
    <row r="435" customFormat="false" ht="21" hidden="false" customHeight="true" outlineLevel="0" collapsed="false">
      <c r="A435" s="7" t="s">
        <v>134</v>
      </c>
      <c r="B435" s="15" t="n">
        <v>3</v>
      </c>
      <c r="C435" s="7" t="n">
        <v>45</v>
      </c>
      <c r="D435" s="22" t="s">
        <v>646</v>
      </c>
      <c r="E435" s="4" t="s">
        <v>946</v>
      </c>
      <c r="F435" s="23" t="s">
        <v>947</v>
      </c>
      <c r="G435" s="22" t="s">
        <v>42</v>
      </c>
      <c r="H435" s="3"/>
      <c r="I435" s="3"/>
      <c r="J435" s="7" t="n">
        <f aca="false">LEN(E435)-SUMPRODUCT(LEN(E435)-LEN(SUBSTITUTE(E435,{"，","。","？","！","、","…","；","：","《","》"," ","“","”","—","（","）","·"},"")))</f>
        <v>8</v>
      </c>
      <c r="K435" s="23"/>
    </row>
    <row r="436" customFormat="false" ht="51" hidden="false" customHeight="true" outlineLevel="0" collapsed="false">
      <c r="A436" s="7" t="s">
        <v>134</v>
      </c>
      <c r="B436" s="15" t="n">
        <v>3</v>
      </c>
      <c r="C436" s="7" t="n">
        <v>46</v>
      </c>
      <c r="D436" s="22" t="s">
        <v>219</v>
      </c>
      <c r="E436" s="4" t="s">
        <v>948</v>
      </c>
      <c r="F436" s="23" t="s">
        <v>949</v>
      </c>
      <c r="G436" s="22" t="s">
        <v>32</v>
      </c>
      <c r="H436" s="3" t="s">
        <v>950</v>
      </c>
      <c r="I436" s="4" t="s">
        <v>951</v>
      </c>
      <c r="J436" s="7" t="n">
        <f aca="false">LEN(E436)-SUMPRODUCT(LEN(E436)-LEN(SUBSTITUTE(E436,{"，","。","？","！","、","…","；","：","《","》"," ","“","”","—","（","）","·"},"")))</f>
        <v>64</v>
      </c>
      <c r="K436" s="23"/>
    </row>
    <row r="437" customFormat="false" ht="21" hidden="false" customHeight="true" outlineLevel="0" collapsed="false">
      <c r="A437" s="7" t="s">
        <v>134</v>
      </c>
      <c r="B437" s="15" t="n">
        <v>3</v>
      </c>
      <c r="C437" s="7" t="n">
        <v>47</v>
      </c>
      <c r="D437" s="22" t="s">
        <v>481</v>
      </c>
      <c r="E437" s="4" t="s">
        <v>952</v>
      </c>
      <c r="F437" s="23"/>
      <c r="G437" s="22" t="s">
        <v>42</v>
      </c>
      <c r="H437" s="3"/>
      <c r="I437" s="3"/>
      <c r="J437" s="7" t="n">
        <f aca="false">LEN(E437)-SUMPRODUCT(LEN(E437)-LEN(SUBSTITUTE(E437,{"，","。","？","！","、","…","；","：","《","》"," ","“","”","—","（","）","·"},"")))</f>
        <v>7</v>
      </c>
      <c r="K437" s="23"/>
    </row>
    <row r="438" customFormat="false" ht="51" hidden="false" customHeight="true" outlineLevel="0" collapsed="false">
      <c r="A438" s="7" t="s">
        <v>134</v>
      </c>
      <c r="B438" s="15" t="n">
        <v>3</v>
      </c>
      <c r="C438" s="7" t="n">
        <v>48</v>
      </c>
      <c r="D438" s="22" t="s">
        <v>481</v>
      </c>
      <c r="E438" s="4" t="s">
        <v>953</v>
      </c>
      <c r="F438" s="23"/>
      <c r="G438" s="22" t="s">
        <v>42</v>
      </c>
      <c r="H438" s="3" t="s">
        <v>383</v>
      </c>
      <c r="I438" s="3"/>
      <c r="J438" s="7" t="n">
        <f aca="false">LEN(E438)-SUMPRODUCT(LEN(E438)-LEN(SUBSTITUTE(E438,{"，","。","？","！","、","…","；","：","《","》"," ","“","”","—","（","）","·"},"")))</f>
        <v>49</v>
      </c>
      <c r="K438" s="23"/>
    </row>
    <row r="439" customFormat="false" ht="21" hidden="false" customHeight="true" outlineLevel="0" collapsed="false">
      <c r="A439" s="7" t="s">
        <v>134</v>
      </c>
      <c r="B439" s="15" t="n">
        <v>3</v>
      </c>
      <c r="C439" s="7" t="n">
        <v>49</v>
      </c>
      <c r="D439" s="22" t="s">
        <v>222</v>
      </c>
      <c r="E439" s="4" t="s">
        <v>954</v>
      </c>
      <c r="F439" s="23" t="s">
        <v>234</v>
      </c>
      <c r="G439" s="22" t="s">
        <v>42</v>
      </c>
      <c r="H439" s="3"/>
      <c r="I439" s="3"/>
      <c r="J439" s="7" t="n">
        <f aca="false">LEN(E439)-SUMPRODUCT(LEN(E439)-LEN(SUBSTITUTE(E439,{"，","。","？","！","、","…","；","：","《","》"," ","“","”","—","（","）","·"},"")))</f>
        <v>8</v>
      </c>
      <c r="K439" s="23"/>
    </row>
    <row r="440" customFormat="false" ht="36" hidden="false" customHeight="true" outlineLevel="0" collapsed="false">
      <c r="A440" s="7" t="s">
        <v>134</v>
      </c>
      <c r="B440" s="15" t="n">
        <v>3</v>
      </c>
      <c r="C440" s="7" t="n">
        <v>50</v>
      </c>
      <c r="D440" s="22" t="s">
        <v>232</v>
      </c>
      <c r="E440" s="4" t="s">
        <v>955</v>
      </c>
      <c r="F440" s="23" t="s">
        <v>770</v>
      </c>
      <c r="G440" s="22" t="s">
        <v>42</v>
      </c>
      <c r="H440" s="3"/>
      <c r="I440" s="3"/>
      <c r="J440" s="7" t="n">
        <f aca="false">LEN(E440)-SUMPRODUCT(LEN(E440)-LEN(SUBSTITUTE(E440,{"，","。","？","！","、","…","；","：","《","》"," ","“","”","—","（","）","·"},"")))</f>
        <v>7</v>
      </c>
      <c r="K440" s="23"/>
    </row>
    <row r="441" customFormat="false" ht="21" hidden="false" customHeight="true" outlineLevel="0" collapsed="false">
      <c r="A441" s="7" t="s">
        <v>134</v>
      </c>
      <c r="B441" s="15" t="n">
        <v>3</v>
      </c>
      <c r="C441" s="7" t="n">
        <v>51</v>
      </c>
      <c r="D441" s="22" t="s">
        <v>646</v>
      </c>
      <c r="E441" s="4" t="s">
        <v>956</v>
      </c>
      <c r="F441" s="23"/>
      <c r="G441" s="22" t="s">
        <v>42</v>
      </c>
      <c r="H441" s="3"/>
      <c r="I441" s="3"/>
      <c r="J441" s="7" t="n">
        <f aca="false">LEN(E441)-SUMPRODUCT(LEN(E441)-LEN(SUBSTITUTE(E441,{"，","。","？","！","、","…","；","：","《","》"," ","“","”","—","（","）","·"},"")))</f>
        <v>15</v>
      </c>
      <c r="K441" s="23"/>
    </row>
    <row r="442" customFormat="false" ht="36" hidden="false" customHeight="true" outlineLevel="0" collapsed="false">
      <c r="A442" s="7" t="s">
        <v>134</v>
      </c>
      <c r="B442" s="15" t="n">
        <v>3</v>
      </c>
      <c r="C442" s="7" t="n">
        <v>52</v>
      </c>
      <c r="D442" s="22" t="s">
        <v>219</v>
      </c>
      <c r="E442" s="4" t="s">
        <v>957</v>
      </c>
      <c r="F442" s="23"/>
      <c r="G442" s="22" t="s">
        <v>40</v>
      </c>
      <c r="H442" s="3" t="s">
        <v>958</v>
      </c>
      <c r="I442" s="3"/>
      <c r="J442" s="7" t="n">
        <f aca="false">LEN(E442)-SUMPRODUCT(LEN(E442)-LEN(SUBSTITUTE(E442,{"，","。","？","！","、","…","；","：","《","》"," ","“","”","—","（","）","·"},"")))</f>
        <v>19</v>
      </c>
      <c r="K442" s="23"/>
    </row>
    <row r="443" customFormat="false" ht="21" hidden="false" customHeight="true" outlineLevel="0" collapsed="false">
      <c r="A443" s="7" t="s">
        <v>134</v>
      </c>
      <c r="B443" s="15" t="n">
        <v>3</v>
      </c>
      <c r="C443" s="7" t="n">
        <v>53</v>
      </c>
      <c r="D443" s="22" t="s">
        <v>222</v>
      </c>
      <c r="E443" s="4" t="s">
        <v>959</v>
      </c>
      <c r="F443" s="23"/>
      <c r="G443" s="22" t="s">
        <v>42</v>
      </c>
      <c r="H443" s="3"/>
      <c r="I443" s="4" t="s">
        <v>794</v>
      </c>
      <c r="J443" s="7" t="n">
        <f aca="false">LEN(E443)-SUMPRODUCT(LEN(E443)-LEN(SUBSTITUTE(E443,{"，","。","？","！","、","…","；","：","《","》"," ","“","”","—","（","）","·"},"")))</f>
        <v>4</v>
      </c>
      <c r="K443" s="23"/>
    </row>
    <row r="444" customFormat="false" ht="36" hidden="false" customHeight="true" outlineLevel="0" collapsed="false">
      <c r="A444" s="7" t="s">
        <v>134</v>
      </c>
      <c r="B444" s="15" t="n">
        <v>3</v>
      </c>
      <c r="C444" s="7" t="n">
        <v>54</v>
      </c>
      <c r="D444" s="22" t="s">
        <v>219</v>
      </c>
      <c r="E444" s="4" t="s">
        <v>960</v>
      </c>
      <c r="F444" s="23"/>
      <c r="G444" s="22" t="s">
        <v>40</v>
      </c>
      <c r="H444" s="3" t="s">
        <v>961</v>
      </c>
      <c r="I444" s="3"/>
      <c r="J444" s="7" t="n">
        <f aca="false">LEN(E444)-SUMPRODUCT(LEN(E444)-LEN(SUBSTITUTE(E444,{"，","。","？","！","、","…","；","：","《","》"," ","“","”","—","（","）","·"},"")))</f>
        <v>12</v>
      </c>
      <c r="K444" s="23"/>
    </row>
    <row r="445" customFormat="false" ht="21" hidden="false" customHeight="true" outlineLevel="0" collapsed="false">
      <c r="A445" s="7" t="s">
        <v>134</v>
      </c>
      <c r="B445" s="15" t="n">
        <v>3</v>
      </c>
      <c r="C445" s="7" t="n">
        <v>55</v>
      </c>
      <c r="D445" s="22" t="s">
        <v>222</v>
      </c>
      <c r="E445" s="4" t="s">
        <v>962</v>
      </c>
      <c r="F445" s="23"/>
      <c r="G445" s="22" t="s">
        <v>42</v>
      </c>
      <c r="H445" s="3" t="s">
        <v>961</v>
      </c>
      <c r="I445" s="3"/>
      <c r="J445" s="7" t="n">
        <f aca="false">LEN(E445)-SUMPRODUCT(LEN(E445)-LEN(SUBSTITUTE(E445,{"，","。","？","！","、","…","；","：","《","》"," ","“","”","—","（","）","·"},"")))</f>
        <v>7</v>
      </c>
      <c r="K445" s="23"/>
    </row>
    <row r="446" customFormat="false" ht="21" hidden="false" customHeight="true" outlineLevel="0" collapsed="false">
      <c r="A446" s="7" t="s">
        <v>134</v>
      </c>
      <c r="B446" s="15" t="n">
        <v>3</v>
      </c>
      <c r="C446" s="7" t="n">
        <v>56</v>
      </c>
      <c r="D446" s="22" t="s">
        <v>232</v>
      </c>
      <c r="E446" s="4" t="s">
        <v>963</v>
      </c>
      <c r="F446" s="23" t="s">
        <v>234</v>
      </c>
      <c r="G446" s="22" t="s">
        <v>42</v>
      </c>
      <c r="H446" s="3"/>
      <c r="I446" s="3"/>
      <c r="J446" s="7" t="n">
        <f aca="false">LEN(E446)-SUMPRODUCT(LEN(E446)-LEN(SUBSTITUTE(E446,{"，","。","？","！","、","…","；","：","《","》"," ","“","”","—","（","）","·"},"")))</f>
        <v>6</v>
      </c>
      <c r="K446" s="23"/>
    </row>
    <row r="447" customFormat="false" ht="36" hidden="false" customHeight="true" outlineLevel="0" collapsed="false">
      <c r="A447" s="7" t="s">
        <v>139</v>
      </c>
      <c r="B447" s="15" t="n">
        <v>4</v>
      </c>
      <c r="C447" s="7" t="n">
        <v>1</v>
      </c>
      <c r="D447" s="22" t="s">
        <v>219</v>
      </c>
      <c r="E447" s="4" t="s">
        <v>964</v>
      </c>
      <c r="F447" s="23" t="s">
        <v>965</v>
      </c>
      <c r="G447" s="22" t="s">
        <v>40</v>
      </c>
      <c r="H447" s="3"/>
      <c r="I447" s="3"/>
      <c r="J447" s="7" t="n">
        <f aca="false">LEN(E447)-SUMPRODUCT(LEN(E447)-LEN(SUBSTITUTE(E447,{"，","。","？","！","、","…","；","：","《","》"," ","“","”","—","（","）","·"},"")))</f>
        <v>13</v>
      </c>
      <c r="K447" s="23"/>
    </row>
    <row r="448" customFormat="false" ht="36" hidden="false" customHeight="true" outlineLevel="0" collapsed="false">
      <c r="A448" s="7" t="s">
        <v>139</v>
      </c>
      <c r="B448" s="15" t="n">
        <v>4</v>
      </c>
      <c r="C448" s="7" t="n">
        <v>2</v>
      </c>
      <c r="D448" s="22" t="s">
        <v>219</v>
      </c>
      <c r="E448" s="4" t="s">
        <v>966</v>
      </c>
      <c r="F448" s="23"/>
      <c r="G448" s="22" t="s">
        <v>32</v>
      </c>
      <c r="H448" s="3" t="s">
        <v>967</v>
      </c>
      <c r="I448" s="4" t="s">
        <v>968</v>
      </c>
      <c r="J448" s="7" t="n">
        <f aca="false">LEN(E448)-SUMPRODUCT(LEN(E448)-LEN(SUBSTITUTE(E448,{"，","。","？","！","、","…","；","：","《","》"," ","“","”","—","（","）","·"},"")))</f>
        <v>34</v>
      </c>
      <c r="K448" s="23"/>
    </row>
    <row r="449" customFormat="false" ht="36" hidden="false" customHeight="true" outlineLevel="0" collapsed="false">
      <c r="A449" s="7" t="s">
        <v>139</v>
      </c>
      <c r="B449" s="15" t="n">
        <v>4</v>
      </c>
      <c r="C449" s="7" t="n">
        <v>3</v>
      </c>
      <c r="D449" s="22" t="s">
        <v>219</v>
      </c>
      <c r="E449" s="4" t="s">
        <v>969</v>
      </c>
      <c r="F449" s="23"/>
      <c r="G449" s="22" t="s">
        <v>40</v>
      </c>
      <c r="H449" s="3" t="s">
        <v>970</v>
      </c>
      <c r="I449" s="3"/>
      <c r="J449" s="7" t="n">
        <f aca="false">LEN(E449)-SUMPRODUCT(LEN(E449)-LEN(SUBSTITUTE(E449,{"，","。","？","！","、","…","；","：","《","》"," ","“","”","—","（","）","·"},"")))</f>
        <v>23</v>
      </c>
      <c r="K449" s="23"/>
    </row>
    <row r="450" customFormat="false" ht="36" hidden="false" customHeight="true" outlineLevel="0" collapsed="false">
      <c r="A450" s="7" t="s">
        <v>139</v>
      </c>
      <c r="B450" s="15" t="n">
        <v>4</v>
      </c>
      <c r="C450" s="7" t="n">
        <v>4</v>
      </c>
      <c r="D450" s="22" t="s">
        <v>219</v>
      </c>
      <c r="E450" s="4" t="s">
        <v>971</v>
      </c>
      <c r="F450" s="23"/>
      <c r="G450" s="22" t="s">
        <v>38</v>
      </c>
      <c r="H450" s="3" t="s">
        <v>972</v>
      </c>
      <c r="I450" s="3"/>
      <c r="J450" s="7" t="n">
        <f aca="false">LEN(E450)-SUMPRODUCT(LEN(E450)-LEN(SUBSTITUTE(E450,{"，","。","？","！","、","…","；","：","《","》"," ","“","”","—","（","）","·"},"")))</f>
        <v>29</v>
      </c>
      <c r="K450" s="23"/>
    </row>
    <row r="451" customFormat="false" ht="36" hidden="false" customHeight="true" outlineLevel="0" collapsed="false">
      <c r="A451" s="7" t="s">
        <v>139</v>
      </c>
      <c r="B451" s="15" t="n">
        <v>4</v>
      </c>
      <c r="C451" s="7" t="n">
        <v>5</v>
      </c>
      <c r="D451" s="22" t="s">
        <v>232</v>
      </c>
      <c r="E451" s="4" t="s">
        <v>973</v>
      </c>
      <c r="F451" s="23"/>
      <c r="G451" s="22" t="s">
        <v>32</v>
      </c>
      <c r="H451" s="3" t="s">
        <v>974</v>
      </c>
      <c r="I451" s="3"/>
      <c r="J451" s="7" t="n">
        <f aca="false">LEN(E451)-SUMPRODUCT(LEN(E451)-LEN(SUBSTITUTE(E451,{"，","。","？","！","、","…","；","：","《","》"," ","“","”","—","（","）","·"},"")))</f>
        <v>24</v>
      </c>
      <c r="K451" s="23"/>
    </row>
    <row r="452" customFormat="false" ht="36" hidden="false" customHeight="true" outlineLevel="0" collapsed="false">
      <c r="A452" s="7" t="s">
        <v>139</v>
      </c>
      <c r="B452" s="15" t="n">
        <v>4</v>
      </c>
      <c r="C452" s="7" t="n">
        <v>6</v>
      </c>
      <c r="D452" s="22" t="s">
        <v>222</v>
      </c>
      <c r="E452" s="4" t="s">
        <v>975</v>
      </c>
      <c r="F452" s="23" t="s">
        <v>976</v>
      </c>
      <c r="G452" s="22" t="s">
        <v>32</v>
      </c>
      <c r="H452" s="3"/>
      <c r="I452" s="4" t="s">
        <v>977</v>
      </c>
      <c r="J452" s="7" t="n">
        <f aca="false">LEN(E452)-SUMPRODUCT(LEN(E452)-LEN(SUBSTITUTE(E452,{"，","。","？","！","、","…","；","：","《","》"," ","“","”","—","（","）","·"},"")))</f>
        <v>26</v>
      </c>
      <c r="K452" s="23"/>
    </row>
    <row r="453" customFormat="false" ht="21" hidden="false" customHeight="true" outlineLevel="0" collapsed="false">
      <c r="A453" s="7" t="s">
        <v>139</v>
      </c>
      <c r="B453" s="15" t="n">
        <v>4</v>
      </c>
      <c r="C453" s="7" t="n">
        <v>7</v>
      </c>
      <c r="D453" s="22" t="s">
        <v>219</v>
      </c>
      <c r="E453" s="4" t="s">
        <v>978</v>
      </c>
      <c r="F453" s="23"/>
      <c r="G453" s="22" t="s">
        <v>32</v>
      </c>
      <c r="H453" s="3"/>
      <c r="I453" s="4" t="s">
        <v>979</v>
      </c>
      <c r="J453" s="7" t="n">
        <f aca="false">LEN(E453)-SUMPRODUCT(LEN(E453)-LEN(SUBSTITUTE(E453,{"，","。","？","！","、","…","；","：","《","》"," ","“","”","—","（","）","·"},"")))</f>
        <v>16</v>
      </c>
      <c r="K453" s="23"/>
    </row>
    <row r="454" customFormat="false" ht="36" hidden="false" customHeight="true" outlineLevel="0" collapsed="false">
      <c r="A454" s="7" t="s">
        <v>139</v>
      </c>
      <c r="B454" s="15" t="n">
        <v>4</v>
      </c>
      <c r="C454" s="7" t="n">
        <v>8</v>
      </c>
      <c r="D454" s="22" t="s">
        <v>222</v>
      </c>
      <c r="E454" s="4" t="s">
        <v>980</v>
      </c>
      <c r="F454" s="23" t="s">
        <v>981</v>
      </c>
      <c r="G454" s="22" t="s">
        <v>32</v>
      </c>
      <c r="H454" s="3" t="s">
        <v>982</v>
      </c>
      <c r="I454" s="4" t="s">
        <v>983</v>
      </c>
      <c r="J454" s="7" t="n">
        <f aca="false">LEN(E454)-SUMPRODUCT(LEN(E454)-LEN(SUBSTITUTE(E454,{"，","。","？","！","、","…","；","：","《","》"," ","“","”","—","（","）","·"},"")))</f>
        <v>26</v>
      </c>
      <c r="K454" s="23"/>
    </row>
    <row r="455" customFormat="false" ht="36" hidden="false" customHeight="true" outlineLevel="0" collapsed="false">
      <c r="A455" s="7" t="s">
        <v>139</v>
      </c>
      <c r="B455" s="15" t="n">
        <v>4</v>
      </c>
      <c r="C455" s="7" t="n">
        <v>9</v>
      </c>
      <c r="D455" s="22" t="s">
        <v>222</v>
      </c>
      <c r="E455" s="4" t="s">
        <v>984</v>
      </c>
      <c r="F455" s="23"/>
      <c r="G455" s="22" t="s">
        <v>32</v>
      </c>
      <c r="H455" s="4" t="s">
        <v>985</v>
      </c>
      <c r="I455" s="4" t="s">
        <v>986</v>
      </c>
      <c r="J455" s="7" t="n">
        <f aca="false">LEN(E455)-SUMPRODUCT(LEN(E455)-LEN(SUBSTITUTE(E455,{"，","。","？","！","、","…","；","：","《","》"," ","“","”","—","（","）","·"},"")))</f>
        <v>27</v>
      </c>
      <c r="K455" s="23"/>
    </row>
    <row r="456" customFormat="false" ht="36" hidden="false" customHeight="true" outlineLevel="0" collapsed="false">
      <c r="A456" s="7" t="s">
        <v>139</v>
      </c>
      <c r="B456" s="15" t="n">
        <v>4</v>
      </c>
      <c r="C456" s="7" t="n">
        <v>10</v>
      </c>
      <c r="D456" s="22" t="s">
        <v>219</v>
      </c>
      <c r="E456" s="4" t="s">
        <v>987</v>
      </c>
      <c r="F456" s="23" t="s">
        <v>988</v>
      </c>
      <c r="G456" s="22" t="s">
        <v>32</v>
      </c>
      <c r="H456" s="3" t="s">
        <v>989</v>
      </c>
      <c r="I456" s="4" t="s">
        <v>990</v>
      </c>
      <c r="J456" s="7" t="n">
        <f aca="false">LEN(E456)-SUMPRODUCT(LEN(E456)-LEN(SUBSTITUTE(E456,{"，","。","？","！","、","…","；","：","《","》"," ","“","”","—","（","）","·"},"")))</f>
        <v>25</v>
      </c>
      <c r="K456" s="23"/>
    </row>
    <row r="457" customFormat="false" ht="36" hidden="false" customHeight="true" outlineLevel="0" collapsed="false">
      <c r="A457" s="7" t="s">
        <v>139</v>
      </c>
      <c r="B457" s="15" t="n">
        <v>4</v>
      </c>
      <c r="C457" s="7" t="n">
        <v>11</v>
      </c>
      <c r="D457" s="22" t="s">
        <v>232</v>
      </c>
      <c r="E457" s="4" t="s">
        <v>991</v>
      </c>
      <c r="F457" s="23"/>
      <c r="G457" s="22" t="s">
        <v>32</v>
      </c>
      <c r="H457" s="3" t="s">
        <v>992</v>
      </c>
      <c r="I457" s="4" t="s">
        <v>993</v>
      </c>
      <c r="J457" s="7" t="n">
        <f aca="false">LEN(E457)-SUMPRODUCT(LEN(E457)-LEN(SUBSTITUTE(E457,{"，","。","？","！","、","…","；","：","《","》"," ","“","”","—","（","）","·"},"")))</f>
        <v>33</v>
      </c>
      <c r="K457" s="23"/>
    </row>
    <row r="458" customFormat="false" ht="21" hidden="false" customHeight="true" outlineLevel="0" collapsed="false">
      <c r="A458" s="7" t="s">
        <v>139</v>
      </c>
      <c r="B458" s="15" t="n">
        <v>4</v>
      </c>
      <c r="C458" s="7" t="n">
        <v>12</v>
      </c>
      <c r="D458" s="22" t="s">
        <v>232</v>
      </c>
      <c r="E458" s="4" t="s">
        <v>994</v>
      </c>
      <c r="F458" s="23"/>
      <c r="G458" s="22" t="s">
        <v>32</v>
      </c>
      <c r="H458" s="3" t="s">
        <v>995</v>
      </c>
      <c r="I458" s="3"/>
      <c r="J458" s="7" t="n">
        <f aca="false">LEN(E458)-SUMPRODUCT(LEN(E458)-LEN(SUBSTITUTE(E458,{"，","。","？","！","、","…","；","：","《","》"," ","“","”","—","（","）","·"},"")))</f>
        <v>20</v>
      </c>
      <c r="K458" s="23"/>
    </row>
    <row r="459" customFormat="false" ht="21" hidden="false" customHeight="true" outlineLevel="0" collapsed="false">
      <c r="A459" s="7" t="s">
        <v>139</v>
      </c>
      <c r="B459" s="15" t="n">
        <v>4</v>
      </c>
      <c r="C459" s="7" t="n">
        <v>13</v>
      </c>
      <c r="D459" s="22" t="s">
        <v>219</v>
      </c>
      <c r="E459" s="4" t="s">
        <v>996</v>
      </c>
      <c r="F459" s="23"/>
      <c r="G459" s="22" t="s">
        <v>42</v>
      </c>
      <c r="H459" s="3"/>
      <c r="I459" s="3"/>
      <c r="J459" s="7" t="n">
        <f aca="false">LEN(E459)-SUMPRODUCT(LEN(E459)-LEN(SUBSTITUTE(E459,{"，","。","？","！","、","…","；","：","《","》"," ","“","”","—","（","）","·"},"")))</f>
        <v>14</v>
      </c>
      <c r="K459" s="23"/>
    </row>
    <row r="460" customFormat="false" ht="36" hidden="false" customHeight="true" outlineLevel="0" collapsed="false">
      <c r="A460" s="7" t="s">
        <v>139</v>
      </c>
      <c r="B460" s="15" t="n">
        <v>4</v>
      </c>
      <c r="C460" s="7" t="n">
        <v>14</v>
      </c>
      <c r="D460" s="22" t="s">
        <v>219</v>
      </c>
      <c r="E460" s="4" t="s">
        <v>997</v>
      </c>
      <c r="F460" s="23" t="s">
        <v>998</v>
      </c>
      <c r="G460" s="22" t="s">
        <v>32</v>
      </c>
      <c r="H460" s="3" t="s">
        <v>999</v>
      </c>
      <c r="I460" s="4" t="s">
        <v>1000</v>
      </c>
      <c r="J460" s="7" t="n">
        <f aca="false">LEN(E460)-SUMPRODUCT(LEN(E460)-LEN(SUBSTITUTE(E460,{"，","。","？","！","、","…","；","：","《","》"," ","“","”","—","（","）","·"},"")))</f>
        <v>25</v>
      </c>
      <c r="K460" s="23"/>
    </row>
    <row r="461" customFormat="false" ht="21" hidden="false" customHeight="true" outlineLevel="0" collapsed="false">
      <c r="A461" s="7" t="s">
        <v>139</v>
      </c>
      <c r="B461" s="15" t="n">
        <v>4</v>
      </c>
      <c r="C461" s="7" t="n">
        <v>15</v>
      </c>
      <c r="D461" s="22" t="s">
        <v>646</v>
      </c>
      <c r="E461" s="4" t="s">
        <v>1001</v>
      </c>
      <c r="F461" s="23" t="s">
        <v>1002</v>
      </c>
      <c r="G461" s="22" t="s">
        <v>42</v>
      </c>
      <c r="H461" s="3"/>
      <c r="I461" s="4" t="s">
        <v>1003</v>
      </c>
      <c r="J461" s="7" t="n">
        <f aca="false">LEN(E461)-SUMPRODUCT(LEN(E461)-LEN(SUBSTITUTE(E461,{"，","。","？","！","、","…","；","：","《","》"," ","“","”","—","（","）","·"},"")))</f>
        <v>11</v>
      </c>
      <c r="K461" s="23"/>
    </row>
    <row r="462" customFormat="false" ht="21" hidden="false" customHeight="true" outlineLevel="0" collapsed="false">
      <c r="A462" s="7" t="s">
        <v>139</v>
      </c>
      <c r="B462" s="15" t="n">
        <v>4</v>
      </c>
      <c r="C462" s="7" t="n">
        <v>16</v>
      </c>
      <c r="D462" s="22" t="s">
        <v>219</v>
      </c>
      <c r="E462" s="3" t="s">
        <v>1004</v>
      </c>
      <c r="F462" s="23"/>
      <c r="G462" s="22" t="s">
        <v>42</v>
      </c>
      <c r="H462" s="3" t="s">
        <v>1005</v>
      </c>
      <c r="I462" s="3"/>
      <c r="J462" s="7" t="n">
        <f aca="false">LEN(E462)-SUMPRODUCT(LEN(E462)-LEN(SUBSTITUTE(E462,{"，","。","？","！","、","…","；","：","《","》"," ","“","”","—","（","）","·"},"")))</f>
        <v>14</v>
      </c>
      <c r="K462" s="23"/>
    </row>
    <row r="463" customFormat="false" ht="36" hidden="false" customHeight="true" outlineLevel="0" collapsed="false">
      <c r="A463" s="7" t="s">
        <v>139</v>
      </c>
      <c r="B463" s="15" t="n">
        <v>4</v>
      </c>
      <c r="C463" s="7" t="n">
        <v>17</v>
      </c>
      <c r="D463" s="22" t="s">
        <v>646</v>
      </c>
      <c r="E463" s="4" t="s">
        <v>1006</v>
      </c>
      <c r="F463" s="23" t="s">
        <v>1007</v>
      </c>
      <c r="G463" s="22" t="s">
        <v>32</v>
      </c>
      <c r="H463" s="3" t="s">
        <v>1008</v>
      </c>
      <c r="I463" s="4" t="s">
        <v>1009</v>
      </c>
      <c r="J463" s="7" t="n">
        <f aca="false">LEN(E463)-SUMPRODUCT(LEN(E463)-LEN(SUBSTITUTE(E463,{"，","。","？","！","、","…","；","：","《","》"," ","“","”","—","（","）","·"},"")))</f>
        <v>22</v>
      </c>
      <c r="K463" s="23"/>
    </row>
    <row r="464" customFormat="false" ht="36" hidden="false" customHeight="true" outlineLevel="0" collapsed="false">
      <c r="A464" s="7" t="s">
        <v>139</v>
      </c>
      <c r="B464" s="15" t="n">
        <v>4</v>
      </c>
      <c r="C464" s="7" t="n">
        <v>18</v>
      </c>
      <c r="D464" s="22" t="s">
        <v>646</v>
      </c>
      <c r="E464" s="4" t="s">
        <v>1010</v>
      </c>
      <c r="F464" s="23" t="s">
        <v>1007</v>
      </c>
      <c r="G464" s="22" t="s">
        <v>32</v>
      </c>
      <c r="H464" s="3" t="s">
        <v>1011</v>
      </c>
      <c r="I464" s="4" t="s">
        <v>1012</v>
      </c>
      <c r="J464" s="7" t="n">
        <f aca="false">LEN(E464)-SUMPRODUCT(LEN(E464)-LEN(SUBSTITUTE(E464,{"，","。","？","！","、","…","；","：","《","》"," ","“","”","—","（","）","·"},"")))</f>
        <v>30</v>
      </c>
      <c r="K464" s="23"/>
    </row>
    <row r="465" customFormat="false" ht="21" hidden="false" customHeight="true" outlineLevel="0" collapsed="false">
      <c r="A465" s="7" t="s">
        <v>139</v>
      </c>
      <c r="B465" s="15" t="n">
        <v>4</v>
      </c>
      <c r="C465" s="7" t="n">
        <v>19</v>
      </c>
      <c r="D465" s="22" t="s">
        <v>219</v>
      </c>
      <c r="E465" s="4" t="s">
        <v>1013</v>
      </c>
      <c r="F465" s="23"/>
      <c r="G465" s="22" t="s">
        <v>32</v>
      </c>
      <c r="H465" s="3" t="s">
        <v>989</v>
      </c>
      <c r="I465" s="3"/>
      <c r="J465" s="7" t="n">
        <f aca="false">LEN(E465)-SUMPRODUCT(LEN(E465)-LEN(SUBSTITUTE(E465,{"，","。","？","！","、","…","；","：","《","》"," ","“","”","—","（","）","·"},"")))</f>
        <v>14</v>
      </c>
      <c r="K465" s="23"/>
    </row>
    <row r="466" customFormat="false" ht="36" hidden="false" customHeight="true" outlineLevel="0" collapsed="false">
      <c r="A466" s="7" t="s">
        <v>139</v>
      </c>
      <c r="B466" s="15" t="n">
        <v>4</v>
      </c>
      <c r="C466" s="7" t="n">
        <v>20</v>
      </c>
      <c r="D466" s="22" t="s">
        <v>646</v>
      </c>
      <c r="E466" s="4" t="s">
        <v>1014</v>
      </c>
      <c r="F466" s="23" t="s">
        <v>1007</v>
      </c>
      <c r="G466" s="22" t="s">
        <v>32</v>
      </c>
      <c r="H466" s="3" t="s">
        <v>1015</v>
      </c>
      <c r="I466" s="4" t="s">
        <v>1016</v>
      </c>
      <c r="J466" s="7" t="n">
        <f aca="false">LEN(E466)-SUMPRODUCT(LEN(E466)-LEN(SUBSTITUTE(E466,{"，","。","？","！","、","…","；","：","《","》"," ","“","”","—","（","）","·"},"")))</f>
        <v>29</v>
      </c>
      <c r="K466" s="23"/>
    </row>
    <row r="467" customFormat="false" ht="36" hidden="false" customHeight="true" outlineLevel="0" collapsed="false">
      <c r="A467" s="7" t="s">
        <v>139</v>
      </c>
      <c r="B467" s="15" t="n">
        <v>4</v>
      </c>
      <c r="C467" s="7" t="n">
        <v>21</v>
      </c>
      <c r="D467" s="22" t="s">
        <v>646</v>
      </c>
      <c r="E467" s="4" t="s">
        <v>1017</v>
      </c>
      <c r="F467" s="23" t="s">
        <v>1007</v>
      </c>
      <c r="G467" s="22" t="s">
        <v>32</v>
      </c>
      <c r="H467" s="3" t="s">
        <v>935</v>
      </c>
      <c r="I467" s="3" t="s">
        <v>1018</v>
      </c>
      <c r="J467" s="7" t="n">
        <f aca="false">LEN(E467)-SUMPRODUCT(LEN(E467)-LEN(SUBSTITUTE(E467,{"，","。","？","！","、","…","；","：","《","》"," ","“","”","—","（","）","·"},"")))</f>
        <v>24</v>
      </c>
      <c r="K467" s="23"/>
    </row>
    <row r="468" customFormat="false" ht="21" hidden="false" customHeight="true" outlineLevel="0" collapsed="false">
      <c r="A468" s="7" t="s">
        <v>139</v>
      </c>
      <c r="B468" s="15" t="n">
        <v>4</v>
      </c>
      <c r="C468" s="7" t="n">
        <v>22</v>
      </c>
      <c r="D468" s="22" t="s">
        <v>222</v>
      </c>
      <c r="E468" s="4" t="s">
        <v>1019</v>
      </c>
      <c r="F468" s="23" t="s">
        <v>234</v>
      </c>
      <c r="G468" s="22" t="s">
        <v>42</v>
      </c>
      <c r="H468" s="3"/>
      <c r="I468" s="3"/>
      <c r="J468" s="7" t="n">
        <f aca="false">LEN(E468)-SUMPRODUCT(LEN(E468)-LEN(SUBSTITUTE(E468,{"，","。","？","！","、","…","；","：","《","》"," ","“","”","—","（","）","·"},"")))</f>
        <v>14</v>
      </c>
      <c r="K468" s="23"/>
    </row>
    <row r="469" customFormat="false" ht="36" hidden="false" customHeight="true" outlineLevel="0" collapsed="false">
      <c r="A469" s="7" t="s">
        <v>139</v>
      </c>
      <c r="B469" s="15" t="n">
        <v>4</v>
      </c>
      <c r="C469" s="7" t="n">
        <v>23</v>
      </c>
      <c r="D469" s="22" t="s">
        <v>219</v>
      </c>
      <c r="E469" s="4" t="s">
        <v>1020</v>
      </c>
      <c r="F469" s="23" t="s">
        <v>870</v>
      </c>
      <c r="G469" s="22" t="s">
        <v>36</v>
      </c>
      <c r="H469" s="3"/>
      <c r="I469" s="3"/>
      <c r="J469" s="7" t="n">
        <f aca="false">LEN(E469)-SUMPRODUCT(LEN(E469)-LEN(SUBSTITUTE(E469,{"，","。","？","！","、","…","；","：","《","》"," ","“","”","—","（","）","·"},"")))</f>
        <v>19</v>
      </c>
      <c r="K469" s="23"/>
    </row>
    <row r="470" customFormat="false" ht="21" hidden="false" customHeight="true" outlineLevel="0" collapsed="false">
      <c r="A470" s="7" t="s">
        <v>139</v>
      </c>
      <c r="B470" s="15" t="n">
        <v>4</v>
      </c>
      <c r="C470" s="7" t="n">
        <v>24</v>
      </c>
      <c r="D470" s="22" t="s">
        <v>232</v>
      </c>
      <c r="E470" s="4" t="s">
        <v>1021</v>
      </c>
      <c r="F470" s="23"/>
      <c r="G470" s="22" t="s">
        <v>32</v>
      </c>
      <c r="H470" s="3" t="s">
        <v>1022</v>
      </c>
      <c r="I470" s="3"/>
      <c r="J470" s="7" t="n">
        <f aca="false">LEN(E470)-SUMPRODUCT(LEN(E470)-LEN(SUBSTITUTE(E470,{"，","。","？","！","、","…","；","：","《","》"," ","“","”","—","（","）","·"},"")))</f>
        <v>13</v>
      </c>
      <c r="K470" s="23"/>
    </row>
    <row r="471" customFormat="false" ht="21" hidden="false" customHeight="true" outlineLevel="0" collapsed="false">
      <c r="A471" s="7" t="s">
        <v>139</v>
      </c>
      <c r="B471" s="15" t="n">
        <v>4</v>
      </c>
      <c r="C471" s="7" t="n">
        <v>25</v>
      </c>
      <c r="D471" s="22" t="s">
        <v>219</v>
      </c>
      <c r="E471" s="4" t="s">
        <v>1023</v>
      </c>
      <c r="F471" s="23"/>
      <c r="G471" s="22" t="s">
        <v>32</v>
      </c>
      <c r="H471" s="3" t="s">
        <v>974</v>
      </c>
      <c r="I471" s="3" t="s">
        <v>1024</v>
      </c>
      <c r="J471" s="7" t="n">
        <f aca="false">LEN(E471)-SUMPRODUCT(LEN(E471)-LEN(SUBSTITUTE(E471,{"，","。","？","！","、","…","；","：","《","》"," ","“","”","—","（","）","·"},"")))</f>
        <v>18</v>
      </c>
      <c r="K471" s="23"/>
    </row>
    <row r="472" customFormat="false" ht="21" hidden="false" customHeight="true" outlineLevel="0" collapsed="false">
      <c r="A472" s="7" t="s">
        <v>139</v>
      </c>
      <c r="B472" s="15" t="n">
        <v>4</v>
      </c>
      <c r="C472" s="7" t="n">
        <v>26</v>
      </c>
      <c r="D472" s="22" t="s">
        <v>232</v>
      </c>
      <c r="E472" s="3" t="s">
        <v>1025</v>
      </c>
      <c r="F472" s="23"/>
      <c r="G472" s="22" t="s">
        <v>42</v>
      </c>
      <c r="H472" s="3"/>
      <c r="I472" s="3" t="s">
        <v>1026</v>
      </c>
      <c r="J472" s="7" t="n">
        <f aca="false">LEN(E472)-SUMPRODUCT(LEN(E472)-LEN(SUBSTITUTE(E472,{"，","。","？","！","、","…","；","：","《","》"," ","“","”","—","（","）","·"},"")))</f>
        <v>7</v>
      </c>
      <c r="K472" s="23"/>
    </row>
    <row r="473" customFormat="false" ht="36" hidden="false" customHeight="true" outlineLevel="0" collapsed="false">
      <c r="A473" s="7" t="s">
        <v>139</v>
      </c>
      <c r="B473" s="15" t="n">
        <v>4</v>
      </c>
      <c r="C473" s="7" t="n">
        <v>27</v>
      </c>
      <c r="D473" s="22" t="s">
        <v>219</v>
      </c>
      <c r="E473" s="3" t="s">
        <v>1027</v>
      </c>
      <c r="F473" s="23"/>
      <c r="G473" s="22" t="s">
        <v>40</v>
      </c>
      <c r="H473" s="4" t="s">
        <v>1028</v>
      </c>
      <c r="I473" s="3" t="s">
        <v>1029</v>
      </c>
      <c r="J473" s="7" t="n">
        <f aca="false">LEN(E473)-SUMPRODUCT(LEN(E473)-LEN(SUBSTITUTE(E473,{"，","。","？","！","、","…","；","：","《","》"," ","“","”","—","（","）","·"},"")))</f>
        <v>28</v>
      </c>
      <c r="K473" s="23"/>
    </row>
    <row r="474" customFormat="false" ht="36" hidden="false" customHeight="true" outlineLevel="0" collapsed="false">
      <c r="A474" s="7" t="s">
        <v>139</v>
      </c>
      <c r="B474" s="15" t="n">
        <v>4</v>
      </c>
      <c r="C474" s="7" t="n">
        <v>28</v>
      </c>
      <c r="D474" s="22" t="s">
        <v>232</v>
      </c>
      <c r="E474" s="4" t="s">
        <v>1030</v>
      </c>
      <c r="F474" s="23"/>
      <c r="G474" s="22" t="s">
        <v>32</v>
      </c>
      <c r="H474" s="3" t="s">
        <v>1031</v>
      </c>
      <c r="I474" s="3" t="s">
        <v>1026</v>
      </c>
      <c r="J474" s="7" t="n">
        <f aca="false">LEN(E474)-SUMPRODUCT(LEN(E474)-LEN(SUBSTITUTE(E474,{"，","。","？","！","、","…","；","：","《","》"," ","“","”","—","（","）","·"},"")))</f>
        <v>25</v>
      </c>
      <c r="K474" s="23"/>
    </row>
    <row r="475" customFormat="false" ht="36" hidden="false" customHeight="true" outlineLevel="0" collapsed="false">
      <c r="A475" s="7" t="s">
        <v>139</v>
      </c>
      <c r="B475" s="15" t="n">
        <v>4</v>
      </c>
      <c r="C475" s="7" t="n">
        <v>29</v>
      </c>
      <c r="D475" s="22" t="s">
        <v>219</v>
      </c>
      <c r="E475" s="4" t="s">
        <v>1032</v>
      </c>
      <c r="F475" s="23"/>
      <c r="G475" s="22" t="s">
        <v>32</v>
      </c>
      <c r="H475" s="3" t="s">
        <v>1033</v>
      </c>
      <c r="I475" s="3"/>
      <c r="J475" s="7" t="n">
        <f aca="false">LEN(E475)-SUMPRODUCT(LEN(E475)-LEN(SUBSTITUTE(E475,{"，","。","？","！","、","…","；","：","《","》"," ","“","”","—","（","）","·"},"")))</f>
        <v>25</v>
      </c>
      <c r="K475" s="23"/>
    </row>
    <row r="476" customFormat="false" ht="36" hidden="false" customHeight="true" outlineLevel="0" collapsed="false">
      <c r="A476" s="7" t="s">
        <v>139</v>
      </c>
      <c r="B476" s="15" t="n">
        <v>4</v>
      </c>
      <c r="C476" s="7" t="n">
        <v>30</v>
      </c>
      <c r="D476" s="22" t="s">
        <v>232</v>
      </c>
      <c r="E476" s="4" t="s">
        <v>1034</v>
      </c>
      <c r="F476" s="23" t="s">
        <v>1035</v>
      </c>
      <c r="G476" s="22" t="s">
        <v>32</v>
      </c>
      <c r="H476" s="3" t="s">
        <v>1036</v>
      </c>
      <c r="I476" s="3"/>
      <c r="J476" s="7" t="n">
        <f aca="false">LEN(E476)-SUMPRODUCT(LEN(E476)-LEN(SUBSTITUTE(E476,{"，","。","？","！","、","…","；","：","《","》"," ","“","”","—","（","）","·"},"")))</f>
        <v>13</v>
      </c>
      <c r="K476" s="23"/>
    </row>
    <row r="477" customFormat="false" ht="21" hidden="false" customHeight="true" outlineLevel="0" collapsed="false">
      <c r="A477" s="7" t="s">
        <v>139</v>
      </c>
      <c r="B477" s="15" t="n">
        <v>4</v>
      </c>
      <c r="C477" s="7" t="n">
        <v>31</v>
      </c>
      <c r="D477" s="22" t="s">
        <v>222</v>
      </c>
      <c r="E477" s="4" t="s">
        <v>1037</v>
      </c>
      <c r="F477" s="23"/>
      <c r="G477" s="22" t="s">
        <v>32</v>
      </c>
      <c r="H477" s="3"/>
      <c r="I477" s="3" t="s">
        <v>1024</v>
      </c>
      <c r="J477" s="7" t="n">
        <f aca="false">LEN(E477)-SUMPRODUCT(LEN(E477)-LEN(SUBSTITUTE(E477,{"，","。","？","！","、","…","；","：","《","》"," ","“","”","—","（","）","·"},"")))</f>
        <v>21</v>
      </c>
      <c r="K477" s="23"/>
    </row>
    <row r="478" customFormat="false" ht="36" hidden="false" customHeight="true" outlineLevel="0" collapsed="false">
      <c r="A478" s="7" t="s">
        <v>139</v>
      </c>
      <c r="B478" s="15" t="n">
        <v>4</v>
      </c>
      <c r="C478" s="7" t="n">
        <v>32</v>
      </c>
      <c r="D478" s="22" t="s">
        <v>219</v>
      </c>
      <c r="E478" s="4" t="s">
        <v>1038</v>
      </c>
      <c r="F478" s="23"/>
      <c r="G478" s="22" t="s">
        <v>32</v>
      </c>
      <c r="H478" s="3" t="s">
        <v>1039</v>
      </c>
      <c r="I478" s="3" t="s">
        <v>1024</v>
      </c>
      <c r="J478" s="7" t="n">
        <f aca="false">LEN(E478)-SUMPRODUCT(LEN(E478)-LEN(SUBSTITUTE(E478,{"，","。","？","！","、","…","；","：","《","》"," ","“","”","—","（","）","·"},"")))</f>
        <v>34</v>
      </c>
      <c r="K478" s="23"/>
    </row>
    <row r="479" customFormat="false" ht="36" hidden="false" customHeight="true" outlineLevel="0" collapsed="false">
      <c r="A479" s="7" t="s">
        <v>139</v>
      </c>
      <c r="B479" s="15" t="n">
        <v>4</v>
      </c>
      <c r="C479" s="7" t="n">
        <v>33</v>
      </c>
      <c r="D479" s="22" t="s">
        <v>222</v>
      </c>
      <c r="E479" s="4" t="s">
        <v>1040</v>
      </c>
      <c r="F479" s="23"/>
      <c r="G479" s="22" t="s">
        <v>36</v>
      </c>
      <c r="H479" s="3" t="s">
        <v>972</v>
      </c>
      <c r="I479" s="3"/>
      <c r="J479" s="7" t="n">
        <f aca="false">LEN(E479)-SUMPRODUCT(LEN(E479)-LEN(SUBSTITUTE(E479,{"，","。","？","！","、","…","；","：","《","》"," ","“","”","—","（","）","·"},"")))</f>
        <v>24</v>
      </c>
      <c r="K479" s="23"/>
    </row>
    <row r="480" customFormat="false" ht="36" hidden="false" customHeight="true" outlineLevel="0" collapsed="false">
      <c r="A480" s="7" t="s">
        <v>139</v>
      </c>
      <c r="B480" s="15" t="n">
        <v>4</v>
      </c>
      <c r="C480" s="7" t="n">
        <v>34</v>
      </c>
      <c r="D480" s="22" t="s">
        <v>219</v>
      </c>
      <c r="E480" s="4" t="s">
        <v>1041</v>
      </c>
      <c r="F480" s="23"/>
      <c r="G480" s="22" t="s">
        <v>36</v>
      </c>
      <c r="H480" s="3" t="s">
        <v>999</v>
      </c>
      <c r="I480" s="3"/>
      <c r="J480" s="7" t="n">
        <f aca="false">LEN(E480)-SUMPRODUCT(LEN(E480)-LEN(SUBSTITUTE(E480,{"，","。","？","！","、","…","；","：","《","》"," ","“","”","—","（","）","·"},"")))</f>
        <v>21</v>
      </c>
      <c r="K480" s="23"/>
    </row>
    <row r="481" customFormat="false" ht="36" hidden="false" customHeight="true" outlineLevel="0" collapsed="false">
      <c r="A481" s="7" t="s">
        <v>139</v>
      </c>
      <c r="B481" s="15" t="n">
        <v>4</v>
      </c>
      <c r="C481" s="7" t="n">
        <v>35</v>
      </c>
      <c r="D481" s="22" t="s">
        <v>219</v>
      </c>
      <c r="E481" s="4" t="s">
        <v>1042</v>
      </c>
      <c r="F481" s="23"/>
      <c r="G481" s="22" t="s">
        <v>40</v>
      </c>
      <c r="H481" s="3" t="s">
        <v>1043</v>
      </c>
      <c r="I481" s="3"/>
      <c r="J481" s="7" t="n">
        <f aca="false">LEN(E481)-SUMPRODUCT(LEN(E481)-LEN(SUBSTITUTE(E481,{"，","。","？","！","、","…","；","：","《","》"," ","“","”","—","（","）","·"},"")))</f>
        <v>29</v>
      </c>
      <c r="K481" s="23"/>
    </row>
    <row r="482" customFormat="false" ht="21" hidden="false" customHeight="true" outlineLevel="0" collapsed="false">
      <c r="A482" s="7" t="s">
        <v>139</v>
      </c>
      <c r="B482" s="15" t="n">
        <v>4</v>
      </c>
      <c r="C482" s="7" t="n">
        <v>36</v>
      </c>
      <c r="D482" s="22" t="s">
        <v>232</v>
      </c>
      <c r="E482" s="4" t="s">
        <v>1044</v>
      </c>
      <c r="F482" s="23"/>
      <c r="G482" s="22" t="s">
        <v>42</v>
      </c>
      <c r="H482" s="3"/>
      <c r="I482" s="3"/>
      <c r="J482" s="7" t="n">
        <f aca="false">LEN(E482)-SUMPRODUCT(LEN(E482)-LEN(SUBSTITUTE(E482,{"，","。","？","！","、","…","；","：","《","》"," ","“","”","—","（","）","·"},"")))</f>
        <v>7</v>
      </c>
      <c r="K482" s="23"/>
    </row>
    <row r="483" customFormat="false" ht="36" hidden="false" customHeight="true" outlineLevel="0" collapsed="false">
      <c r="A483" s="7" t="s">
        <v>139</v>
      </c>
      <c r="B483" s="15" t="n">
        <v>4</v>
      </c>
      <c r="C483" s="7" t="n">
        <v>37</v>
      </c>
      <c r="D483" s="22" t="s">
        <v>219</v>
      </c>
      <c r="E483" s="4" t="s">
        <v>1045</v>
      </c>
      <c r="F483" s="23"/>
      <c r="G483" s="22" t="s">
        <v>40</v>
      </c>
      <c r="H483" s="3" t="s">
        <v>1046</v>
      </c>
      <c r="I483" s="3"/>
      <c r="J483" s="7" t="n">
        <f aca="false">LEN(E483)-SUMPRODUCT(LEN(E483)-LEN(SUBSTITUTE(E483,{"，","。","？","！","、","…","；","：","《","》"," ","“","”","—","（","）","·"},"")))</f>
        <v>22</v>
      </c>
      <c r="K483" s="23"/>
    </row>
    <row r="484" customFormat="false" ht="36" hidden="false" customHeight="true" outlineLevel="0" collapsed="false">
      <c r="A484" s="7" t="s">
        <v>139</v>
      </c>
      <c r="B484" s="15" t="n">
        <v>4</v>
      </c>
      <c r="C484" s="7" t="n">
        <v>38</v>
      </c>
      <c r="D484" s="22" t="s">
        <v>219</v>
      </c>
      <c r="E484" s="4" t="s">
        <v>1047</v>
      </c>
      <c r="F484" s="23"/>
      <c r="G484" s="22" t="s">
        <v>34</v>
      </c>
      <c r="H484" s="3" t="s">
        <v>1048</v>
      </c>
      <c r="I484" s="3"/>
      <c r="J484" s="7" t="n">
        <f aca="false">LEN(E484)-SUMPRODUCT(LEN(E484)-LEN(SUBSTITUTE(E484,{"，","。","？","！","、","…","；","：","《","》"," ","“","”","—","（","）","·"},"")))</f>
        <v>20</v>
      </c>
      <c r="K484" s="23"/>
    </row>
    <row r="485" customFormat="false" ht="21" hidden="false" customHeight="true" outlineLevel="0" collapsed="false">
      <c r="A485" s="7" t="s">
        <v>139</v>
      </c>
      <c r="B485" s="15" t="n">
        <v>4</v>
      </c>
      <c r="C485" s="7" t="n">
        <v>39</v>
      </c>
      <c r="D485" s="22" t="s">
        <v>232</v>
      </c>
      <c r="E485" s="4" t="s">
        <v>1049</v>
      </c>
      <c r="F485" s="23"/>
      <c r="G485" s="22" t="s">
        <v>32</v>
      </c>
      <c r="H485" s="3" t="s">
        <v>1050</v>
      </c>
      <c r="I485" s="3"/>
      <c r="J485" s="7" t="n">
        <f aca="false">LEN(E485)-SUMPRODUCT(LEN(E485)-LEN(SUBSTITUTE(E485,{"，","。","？","！","、","…","；","：","《","》"," ","“","”","—","（","）","·"},"")))</f>
        <v>21</v>
      </c>
      <c r="K485" s="23"/>
    </row>
    <row r="486" customFormat="false" ht="21" hidden="false" customHeight="true" outlineLevel="0" collapsed="false">
      <c r="A486" s="7" t="s">
        <v>139</v>
      </c>
      <c r="B486" s="15" t="n">
        <v>4</v>
      </c>
      <c r="C486" s="7" t="n">
        <v>40</v>
      </c>
      <c r="D486" s="22" t="s">
        <v>219</v>
      </c>
      <c r="E486" s="4" t="s">
        <v>1051</v>
      </c>
      <c r="F486" s="23" t="s">
        <v>1052</v>
      </c>
      <c r="G486" s="22" t="s">
        <v>32</v>
      </c>
      <c r="H486" s="3" t="s">
        <v>1053</v>
      </c>
      <c r="I486" s="3"/>
      <c r="J486" s="7" t="n">
        <f aca="false">LEN(E486)-SUMPRODUCT(LEN(E486)-LEN(SUBSTITUTE(E486,{"，","。","？","！","、","…","；","：","《","》"," ","“","”","—","（","）","·"},"")))</f>
        <v>14</v>
      </c>
      <c r="K486" s="23"/>
    </row>
    <row r="487" customFormat="false" ht="36" hidden="false" customHeight="true" outlineLevel="0" collapsed="false">
      <c r="A487" s="7" t="s">
        <v>139</v>
      </c>
      <c r="B487" s="15" t="n">
        <v>4</v>
      </c>
      <c r="C487" s="7" t="n">
        <v>41</v>
      </c>
      <c r="D487" s="22" t="s">
        <v>222</v>
      </c>
      <c r="E487" s="4" t="s">
        <v>1054</v>
      </c>
      <c r="F487" s="23"/>
      <c r="G487" s="22" t="s">
        <v>42</v>
      </c>
      <c r="H487" s="4" t="s">
        <v>1055</v>
      </c>
      <c r="I487" s="4" t="s">
        <v>977</v>
      </c>
      <c r="J487" s="7" t="n">
        <f aca="false">LEN(E487)-SUMPRODUCT(LEN(E487)-LEN(SUBSTITUTE(E487,{"，","。","？","！","、","…","；","：","《","》"," ","“","”","—","（","）","·"},"")))</f>
        <v>24</v>
      </c>
      <c r="K487" s="23"/>
    </row>
    <row r="488" customFormat="false" ht="21" hidden="false" customHeight="true" outlineLevel="0" collapsed="false">
      <c r="A488" s="7" t="s">
        <v>139</v>
      </c>
      <c r="B488" s="15" t="n">
        <v>4</v>
      </c>
      <c r="C488" s="7" t="n">
        <v>42</v>
      </c>
      <c r="D488" s="22" t="s">
        <v>219</v>
      </c>
      <c r="E488" s="4" t="s">
        <v>1056</v>
      </c>
      <c r="F488" s="23"/>
      <c r="G488" s="22" t="s">
        <v>42</v>
      </c>
      <c r="H488" s="3" t="s">
        <v>1057</v>
      </c>
      <c r="I488" s="3"/>
      <c r="J488" s="7" t="n">
        <f aca="false">LEN(E488)-SUMPRODUCT(LEN(E488)-LEN(SUBSTITUTE(E488,{"，","。","？","！","、","…","；","：","《","》"," ","“","”","—","（","）","·"},"")))</f>
        <v>11</v>
      </c>
      <c r="K488" s="23"/>
    </row>
    <row r="489" customFormat="false" ht="36" hidden="false" customHeight="true" outlineLevel="0" collapsed="false">
      <c r="A489" s="7" t="s">
        <v>139</v>
      </c>
      <c r="B489" s="15" t="n">
        <v>4</v>
      </c>
      <c r="C489" s="7" t="n">
        <v>43</v>
      </c>
      <c r="D489" s="22" t="s">
        <v>222</v>
      </c>
      <c r="E489" s="4" t="s">
        <v>1058</v>
      </c>
      <c r="F489" s="23"/>
      <c r="G489" s="22" t="s">
        <v>36</v>
      </c>
      <c r="H489" s="3"/>
      <c r="I489" s="3"/>
      <c r="J489" s="7" t="n">
        <f aca="false">LEN(E489)-SUMPRODUCT(LEN(E489)-LEN(SUBSTITUTE(E489,{"，","。","？","！","、","…","；","：","《","》"," ","“","”","—","（","）","·"},"")))</f>
        <v>18</v>
      </c>
      <c r="K489" s="23"/>
    </row>
    <row r="490" customFormat="false" ht="36" hidden="false" customHeight="true" outlineLevel="0" collapsed="false">
      <c r="A490" s="7" t="s">
        <v>139</v>
      </c>
      <c r="B490" s="15" t="n">
        <v>4</v>
      </c>
      <c r="C490" s="7" t="n">
        <v>44</v>
      </c>
      <c r="D490" s="22" t="s">
        <v>219</v>
      </c>
      <c r="E490" s="4" t="s">
        <v>1059</v>
      </c>
      <c r="F490" s="23"/>
      <c r="G490" s="22" t="s">
        <v>32</v>
      </c>
      <c r="H490" s="3" t="s">
        <v>1060</v>
      </c>
      <c r="I490" s="3"/>
      <c r="J490" s="7" t="n">
        <f aca="false">LEN(E490)-SUMPRODUCT(LEN(E490)-LEN(SUBSTITUTE(E490,{"，","。","？","！","、","…","；","：","《","》"," ","“","”","—","（","）","·"},"")))</f>
        <v>24</v>
      </c>
      <c r="K490" s="23"/>
    </row>
    <row r="491" customFormat="false" ht="36" hidden="false" customHeight="true" outlineLevel="0" collapsed="false">
      <c r="A491" s="7" t="s">
        <v>139</v>
      </c>
      <c r="B491" s="15" t="n">
        <v>4</v>
      </c>
      <c r="C491" s="7" t="n">
        <v>45</v>
      </c>
      <c r="D491" s="22" t="s">
        <v>219</v>
      </c>
      <c r="E491" s="4" t="s">
        <v>1061</v>
      </c>
      <c r="F491" s="23"/>
      <c r="G491" s="22" t="s">
        <v>32</v>
      </c>
      <c r="H491" s="3" t="s">
        <v>1062</v>
      </c>
      <c r="I491" s="3" t="s">
        <v>1063</v>
      </c>
      <c r="J491" s="7" t="n">
        <f aca="false">LEN(E491)-SUMPRODUCT(LEN(E491)-LEN(SUBSTITUTE(E491,{"，","。","？","！","、","…","；","：","《","》"," ","“","”","—","（","）","·"},"")))</f>
        <v>32</v>
      </c>
      <c r="K491" s="23"/>
    </row>
    <row r="492" customFormat="false" ht="36" hidden="false" customHeight="true" outlineLevel="0" collapsed="false">
      <c r="A492" s="7" t="s">
        <v>139</v>
      </c>
      <c r="B492" s="15" t="n">
        <v>4</v>
      </c>
      <c r="C492" s="7" t="n">
        <v>46</v>
      </c>
      <c r="D492" s="22" t="s">
        <v>232</v>
      </c>
      <c r="E492" s="4" t="s">
        <v>1064</v>
      </c>
      <c r="F492" s="23"/>
      <c r="G492" s="22" t="s">
        <v>32</v>
      </c>
      <c r="H492" s="3" t="s">
        <v>1065</v>
      </c>
      <c r="I492" s="3"/>
      <c r="J492" s="7" t="n">
        <f aca="false">LEN(E492)-SUMPRODUCT(LEN(E492)-LEN(SUBSTITUTE(E492,{"，","。","？","！","、","…","；","：","《","》"," ","“","”","—","（","）","·"},"")))</f>
        <v>13</v>
      </c>
      <c r="K492" s="23"/>
    </row>
    <row r="493" customFormat="false" ht="36" hidden="false" customHeight="true" outlineLevel="0" collapsed="false">
      <c r="A493" s="7" t="s">
        <v>139</v>
      </c>
      <c r="B493" s="15" t="n">
        <v>4</v>
      </c>
      <c r="C493" s="7" t="n">
        <v>47</v>
      </c>
      <c r="D493" s="22" t="s">
        <v>219</v>
      </c>
      <c r="E493" s="4" t="s">
        <v>1066</v>
      </c>
      <c r="F493" s="23"/>
      <c r="G493" s="22" t="s">
        <v>40</v>
      </c>
      <c r="H493" s="3" t="s">
        <v>1067</v>
      </c>
      <c r="I493" s="3"/>
      <c r="J493" s="7" t="n">
        <f aca="false">LEN(E493)-SUMPRODUCT(LEN(E493)-LEN(SUBSTITUTE(E493,{"，","。","？","！","、","…","；","：","《","》"," ","“","”","—","（","）","·"},"")))</f>
        <v>17</v>
      </c>
      <c r="K493" s="23"/>
    </row>
    <row r="494" customFormat="false" ht="36" hidden="false" customHeight="true" outlineLevel="0" collapsed="false">
      <c r="A494" s="7" t="s">
        <v>145</v>
      </c>
      <c r="B494" s="15" t="n">
        <v>4</v>
      </c>
      <c r="C494" s="7" t="n">
        <v>1</v>
      </c>
      <c r="D494" s="22" t="s">
        <v>219</v>
      </c>
      <c r="E494" s="4" t="s">
        <v>1068</v>
      </c>
      <c r="F494" s="23" t="s">
        <v>1069</v>
      </c>
      <c r="G494" s="22" t="s">
        <v>40</v>
      </c>
      <c r="H494" s="3" t="s">
        <v>1070</v>
      </c>
      <c r="I494" s="4" t="s">
        <v>389</v>
      </c>
      <c r="J494" s="7" t="n">
        <f aca="false">LEN(E494)-SUMPRODUCT(LEN(E494)-LEN(SUBSTITUTE(E494,{"，","。","？","！","、","…","；","：","《","》"," ","“","”","—","（","）","·"},"")))</f>
        <v>34</v>
      </c>
      <c r="K494" s="23"/>
    </row>
    <row r="495" customFormat="false" ht="21" hidden="false" customHeight="true" outlineLevel="0" collapsed="false">
      <c r="A495" s="7" t="s">
        <v>145</v>
      </c>
      <c r="B495" s="15" t="n">
        <v>4</v>
      </c>
      <c r="C495" s="7" t="n">
        <v>2</v>
      </c>
      <c r="D495" s="22" t="s">
        <v>222</v>
      </c>
      <c r="E495" s="4" t="s">
        <v>1071</v>
      </c>
      <c r="F495" s="23"/>
      <c r="G495" s="22" t="s">
        <v>32</v>
      </c>
      <c r="H495" s="3"/>
      <c r="I495" s="4" t="s">
        <v>977</v>
      </c>
      <c r="J495" s="7" t="n">
        <f aca="false">LEN(E495)-SUMPRODUCT(LEN(E495)-LEN(SUBSTITUTE(E495,{"，","。","？","！","、","…","；","：","《","》"," ","“","”","—","（","）","·"},"")))</f>
        <v>20</v>
      </c>
      <c r="K495" s="23"/>
    </row>
    <row r="496" customFormat="false" ht="21" hidden="false" customHeight="true" outlineLevel="0" collapsed="false">
      <c r="A496" s="7" t="s">
        <v>145</v>
      </c>
      <c r="B496" s="15" t="n">
        <v>4</v>
      </c>
      <c r="C496" s="7" t="n">
        <v>3</v>
      </c>
      <c r="D496" s="22" t="s">
        <v>232</v>
      </c>
      <c r="E496" s="4" t="s">
        <v>1072</v>
      </c>
      <c r="F496" s="23" t="s">
        <v>234</v>
      </c>
      <c r="G496" s="22" t="s">
        <v>32</v>
      </c>
      <c r="H496" s="3" t="s">
        <v>1073</v>
      </c>
      <c r="I496" s="4" t="s">
        <v>1074</v>
      </c>
      <c r="J496" s="7" t="n">
        <f aca="false">LEN(E496)-SUMPRODUCT(LEN(E496)-LEN(SUBSTITUTE(E496,{"，","。","？","！","、","…","；","：","《","》"," ","“","”","—","（","）","·"},"")))</f>
        <v>21</v>
      </c>
      <c r="K496" s="23"/>
    </row>
    <row r="497" customFormat="false" ht="36" hidden="false" customHeight="true" outlineLevel="0" collapsed="false">
      <c r="A497" s="7" t="s">
        <v>145</v>
      </c>
      <c r="B497" s="15" t="n">
        <v>4</v>
      </c>
      <c r="C497" s="7" t="n">
        <v>4</v>
      </c>
      <c r="D497" s="22" t="s">
        <v>219</v>
      </c>
      <c r="E497" s="4" t="s">
        <v>1075</v>
      </c>
      <c r="F497" s="23"/>
      <c r="G497" s="22" t="s">
        <v>32</v>
      </c>
      <c r="H497" s="3" t="s">
        <v>1076</v>
      </c>
      <c r="I497" s="3"/>
      <c r="J497" s="7" t="n">
        <f aca="false">LEN(E497)-SUMPRODUCT(LEN(E497)-LEN(SUBSTITUTE(E497,{"，","。","？","！","、","…","；","：","《","》"," ","“","”","—","（","）","·"},"")))</f>
        <v>34</v>
      </c>
      <c r="K497" s="23"/>
    </row>
    <row r="498" customFormat="false" ht="36" hidden="false" customHeight="true" outlineLevel="0" collapsed="false">
      <c r="A498" s="7" t="s">
        <v>145</v>
      </c>
      <c r="B498" s="15" t="n">
        <v>4</v>
      </c>
      <c r="C498" s="7" t="n">
        <v>5</v>
      </c>
      <c r="D498" s="22" t="s">
        <v>219</v>
      </c>
      <c r="E498" s="4" t="s">
        <v>1077</v>
      </c>
      <c r="F498" s="23"/>
      <c r="G498" s="22" t="s">
        <v>32</v>
      </c>
      <c r="H498" s="3" t="s">
        <v>1078</v>
      </c>
      <c r="I498" s="4" t="s">
        <v>1079</v>
      </c>
      <c r="J498" s="7" t="n">
        <f aca="false">LEN(E498)-SUMPRODUCT(LEN(E498)-LEN(SUBSTITUTE(E498,{"，","。","？","！","、","…","；","：","《","》"," ","“","”","—","（","）","·"},"")))</f>
        <v>28</v>
      </c>
      <c r="K498" s="23"/>
    </row>
    <row r="499" customFormat="false" ht="36" hidden="false" customHeight="true" outlineLevel="0" collapsed="false">
      <c r="A499" s="7" t="s">
        <v>145</v>
      </c>
      <c r="B499" s="15" t="n">
        <v>4</v>
      </c>
      <c r="C499" s="7" t="n">
        <v>6</v>
      </c>
      <c r="D499" s="22" t="s">
        <v>481</v>
      </c>
      <c r="E499" s="4" t="s">
        <v>1080</v>
      </c>
      <c r="F499" s="23"/>
      <c r="G499" s="22" t="s">
        <v>32</v>
      </c>
      <c r="H499" s="3" t="s">
        <v>1081</v>
      </c>
      <c r="I499" s="4" t="s">
        <v>1082</v>
      </c>
      <c r="J499" s="7" t="n">
        <f aca="false">LEN(E499)-SUMPRODUCT(LEN(E499)-LEN(SUBSTITUTE(E499,{"，","。","？","！","、","…","；","：","《","》"," ","“","”","—","（","）","·"},"")))</f>
        <v>32</v>
      </c>
      <c r="K499" s="23"/>
    </row>
    <row r="500" customFormat="false" ht="36" hidden="false" customHeight="true" outlineLevel="0" collapsed="false">
      <c r="A500" s="7" t="s">
        <v>145</v>
      </c>
      <c r="B500" s="15" t="n">
        <v>4</v>
      </c>
      <c r="C500" s="7" t="n">
        <v>7</v>
      </c>
      <c r="D500" s="22" t="s">
        <v>219</v>
      </c>
      <c r="E500" s="4" t="s">
        <v>1083</v>
      </c>
      <c r="F500" s="23"/>
      <c r="G500" s="22" t="s">
        <v>32</v>
      </c>
      <c r="H500" s="3" t="s">
        <v>1084</v>
      </c>
      <c r="I500" s="4" t="s">
        <v>1085</v>
      </c>
      <c r="J500" s="7" t="n">
        <f aca="false">LEN(E500)-SUMPRODUCT(LEN(E500)-LEN(SUBSTITUTE(E500,{"，","。","？","！","、","…","；","：","《","》"," ","“","”","—","（","）","·"},"")))</f>
        <v>29</v>
      </c>
      <c r="K500" s="23"/>
    </row>
    <row r="501" customFormat="false" ht="21" hidden="false" customHeight="true" outlineLevel="0" collapsed="false">
      <c r="A501" s="7" t="s">
        <v>145</v>
      </c>
      <c r="B501" s="15" t="n">
        <v>4</v>
      </c>
      <c r="C501" s="7" t="n">
        <v>8</v>
      </c>
      <c r="D501" s="22" t="s">
        <v>222</v>
      </c>
      <c r="E501" s="4" t="s">
        <v>1086</v>
      </c>
      <c r="F501" s="23"/>
      <c r="G501" s="22" t="s">
        <v>32</v>
      </c>
      <c r="H501" s="3"/>
      <c r="I501" s="3"/>
      <c r="J501" s="7" t="n">
        <f aca="false">LEN(E501)-SUMPRODUCT(LEN(E501)-LEN(SUBSTITUTE(E501,{"，","。","？","！","、","…","；","：","《","》"," ","“","”","—","（","）","·"},"")))</f>
        <v>9</v>
      </c>
      <c r="K501" s="23"/>
    </row>
    <row r="502" customFormat="false" ht="36" hidden="false" customHeight="true" outlineLevel="0" collapsed="false">
      <c r="A502" s="7" t="s">
        <v>145</v>
      </c>
      <c r="B502" s="15" t="n">
        <v>4</v>
      </c>
      <c r="C502" s="7" t="n">
        <v>9</v>
      </c>
      <c r="D502" s="22" t="s">
        <v>222</v>
      </c>
      <c r="E502" s="4" t="s">
        <v>1087</v>
      </c>
      <c r="F502" s="23"/>
      <c r="G502" s="22" t="s">
        <v>32</v>
      </c>
      <c r="H502" s="3" t="s">
        <v>1088</v>
      </c>
      <c r="I502" s="3"/>
      <c r="J502" s="7" t="n">
        <f aca="false">LEN(E502)-SUMPRODUCT(LEN(E502)-LEN(SUBSTITUTE(E502,{"，","。","？","！","、","…","；","：","《","》"," ","“","”","—","（","）","·"},"")))</f>
        <v>23</v>
      </c>
      <c r="K502" s="23"/>
    </row>
    <row r="503" customFormat="false" ht="36" hidden="false" customHeight="true" outlineLevel="0" collapsed="false">
      <c r="A503" s="7" t="s">
        <v>145</v>
      </c>
      <c r="B503" s="15" t="n">
        <v>4</v>
      </c>
      <c r="C503" s="7" t="n">
        <v>10</v>
      </c>
      <c r="D503" s="22" t="s">
        <v>222</v>
      </c>
      <c r="E503" s="4" t="s">
        <v>1089</v>
      </c>
      <c r="F503" s="23"/>
      <c r="G503" s="22" t="s">
        <v>36</v>
      </c>
      <c r="H503" s="3" t="s">
        <v>1090</v>
      </c>
      <c r="I503" s="3"/>
      <c r="J503" s="7" t="n">
        <f aca="false">LEN(E503)-SUMPRODUCT(LEN(E503)-LEN(SUBSTITUTE(E503,{"，","。","？","！","、","…","；","：","《","》"," ","“","”","—","（","）","·"},"")))</f>
        <v>39</v>
      </c>
      <c r="K503" s="23"/>
    </row>
    <row r="504" customFormat="false" ht="36" hidden="false" customHeight="true" outlineLevel="0" collapsed="false">
      <c r="A504" s="7" t="s">
        <v>145</v>
      </c>
      <c r="B504" s="15" t="n">
        <v>4</v>
      </c>
      <c r="C504" s="7" t="n">
        <v>11</v>
      </c>
      <c r="D504" s="22" t="s">
        <v>219</v>
      </c>
      <c r="E504" s="4" t="s">
        <v>1091</v>
      </c>
      <c r="F504" s="23"/>
      <c r="G504" s="22" t="s">
        <v>36</v>
      </c>
      <c r="H504" s="3"/>
      <c r="I504" s="3"/>
      <c r="J504" s="7" t="n">
        <f aca="false">LEN(E504)-SUMPRODUCT(LEN(E504)-LEN(SUBSTITUTE(E504,{"，","。","？","！","、","…","；","：","《","》"," ","“","”","—","（","）","·"},"")))</f>
        <v>19</v>
      </c>
      <c r="K504" s="23"/>
    </row>
    <row r="505" customFormat="false" ht="21" hidden="false" customHeight="true" outlineLevel="0" collapsed="false">
      <c r="A505" s="7" t="s">
        <v>145</v>
      </c>
      <c r="B505" s="15" t="n">
        <v>4</v>
      </c>
      <c r="C505" s="7" t="n">
        <v>12</v>
      </c>
      <c r="D505" s="22" t="s">
        <v>232</v>
      </c>
      <c r="E505" s="4" t="s">
        <v>1092</v>
      </c>
      <c r="F505" s="23"/>
      <c r="G505" s="22" t="s">
        <v>32</v>
      </c>
      <c r="H505" s="3" t="s">
        <v>1093</v>
      </c>
      <c r="I505" s="3"/>
      <c r="J505" s="7" t="n">
        <f aca="false">LEN(E505)-SUMPRODUCT(LEN(E505)-LEN(SUBSTITUTE(E505,{"，","。","？","！","、","…","；","：","《","》"," ","“","”","—","（","）","·"},"")))</f>
        <v>23</v>
      </c>
      <c r="K505" s="23"/>
    </row>
    <row r="506" customFormat="false" ht="36" hidden="false" customHeight="true" outlineLevel="0" collapsed="false">
      <c r="A506" s="7" t="s">
        <v>145</v>
      </c>
      <c r="B506" s="15" t="n">
        <v>4</v>
      </c>
      <c r="C506" s="7" t="n">
        <v>13</v>
      </c>
      <c r="D506" s="22" t="s">
        <v>481</v>
      </c>
      <c r="E506" s="4" t="s">
        <v>1094</v>
      </c>
      <c r="F506" s="23"/>
      <c r="G506" s="22" t="s">
        <v>32</v>
      </c>
      <c r="H506" s="3"/>
      <c r="I506" s="3"/>
      <c r="J506" s="7" t="n">
        <f aca="false">LEN(E506)-SUMPRODUCT(LEN(E506)-LEN(SUBSTITUTE(E506,{"，","。","？","！","、","…","；","：","《","》"," ","“","”","—","（","）","·"},"")))</f>
        <v>24</v>
      </c>
      <c r="K506" s="23"/>
    </row>
    <row r="507" customFormat="false" ht="36" hidden="false" customHeight="true" outlineLevel="0" collapsed="false">
      <c r="A507" s="7" t="s">
        <v>145</v>
      </c>
      <c r="B507" s="15" t="n">
        <v>4</v>
      </c>
      <c r="C507" s="7" t="n">
        <v>14</v>
      </c>
      <c r="D507" s="22" t="s">
        <v>219</v>
      </c>
      <c r="E507" s="4" t="s">
        <v>1095</v>
      </c>
      <c r="F507" s="23"/>
      <c r="G507" s="22" t="s">
        <v>32</v>
      </c>
      <c r="H507" s="3" t="s">
        <v>1096</v>
      </c>
      <c r="I507" s="3"/>
      <c r="J507" s="7" t="n">
        <f aca="false">LEN(E507)-SUMPRODUCT(LEN(E507)-LEN(SUBSTITUTE(E507,{"，","。","？","！","、","…","；","：","《","》"," ","“","”","—","（","）","·"},"")))</f>
        <v>30</v>
      </c>
      <c r="K507" s="23"/>
    </row>
    <row r="508" customFormat="false" ht="36" hidden="false" customHeight="true" outlineLevel="0" collapsed="false">
      <c r="A508" s="7" t="s">
        <v>145</v>
      </c>
      <c r="B508" s="15" t="n">
        <v>4</v>
      </c>
      <c r="C508" s="7" t="n">
        <v>15</v>
      </c>
      <c r="D508" s="22" t="s">
        <v>219</v>
      </c>
      <c r="E508" s="4" t="s">
        <v>1097</v>
      </c>
      <c r="F508" s="23"/>
      <c r="G508" s="22" t="s">
        <v>32</v>
      </c>
      <c r="H508" s="3" t="s">
        <v>1098</v>
      </c>
      <c r="I508" s="3"/>
      <c r="J508" s="7" t="n">
        <f aca="false">LEN(E508)-SUMPRODUCT(LEN(E508)-LEN(SUBSTITUTE(E508,{"，","。","？","！","、","…","；","：","《","》"," ","“","”","—","（","）","·"},"")))</f>
        <v>22</v>
      </c>
      <c r="K508" s="23"/>
    </row>
    <row r="509" customFormat="false" ht="36" hidden="false" customHeight="true" outlineLevel="0" collapsed="false">
      <c r="A509" s="7" t="s">
        <v>145</v>
      </c>
      <c r="B509" s="15" t="n">
        <v>4</v>
      </c>
      <c r="C509" s="7" t="n">
        <v>16</v>
      </c>
      <c r="D509" s="22" t="s">
        <v>219</v>
      </c>
      <c r="E509" s="4" t="s">
        <v>1099</v>
      </c>
      <c r="F509" s="23"/>
      <c r="G509" s="22" t="s">
        <v>32</v>
      </c>
      <c r="H509" s="3" t="s">
        <v>1100</v>
      </c>
      <c r="I509" s="3"/>
      <c r="J509" s="7" t="n">
        <f aca="false">LEN(E509)-SUMPRODUCT(LEN(E509)-LEN(SUBSTITUTE(E509,{"，","。","？","！","、","…","；","：","《","》"," ","“","”","—","（","）","·"},"")))</f>
        <v>10</v>
      </c>
      <c r="K509" s="23"/>
    </row>
    <row r="510" customFormat="false" ht="36" hidden="false" customHeight="true" outlineLevel="0" collapsed="false">
      <c r="A510" s="7" t="s">
        <v>145</v>
      </c>
      <c r="B510" s="15" t="n">
        <v>4</v>
      </c>
      <c r="C510" s="7" t="n">
        <v>17</v>
      </c>
      <c r="D510" s="22" t="s">
        <v>232</v>
      </c>
      <c r="E510" s="4" t="s">
        <v>1101</v>
      </c>
      <c r="F510" s="23" t="s">
        <v>1102</v>
      </c>
      <c r="G510" s="22" t="s">
        <v>32</v>
      </c>
      <c r="H510" s="3" t="s">
        <v>1103</v>
      </c>
      <c r="I510" s="3"/>
      <c r="J510" s="7" t="n">
        <f aca="false">LEN(E510)-SUMPRODUCT(LEN(E510)-LEN(SUBSTITUTE(E510,{"，","。","？","！","、","…","；","：","《","》"," ","“","”","—","（","）","·"},"")))</f>
        <v>33</v>
      </c>
      <c r="K510" s="23"/>
    </row>
    <row r="511" customFormat="false" ht="21" hidden="false" customHeight="true" outlineLevel="0" collapsed="false">
      <c r="A511" s="7" t="s">
        <v>145</v>
      </c>
      <c r="B511" s="15" t="n">
        <v>4</v>
      </c>
      <c r="C511" s="7" t="n">
        <v>18</v>
      </c>
      <c r="D511" s="22" t="s">
        <v>219</v>
      </c>
      <c r="E511" s="4" t="s">
        <v>1104</v>
      </c>
      <c r="F511" s="23" t="s">
        <v>282</v>
      </c>
      <c r="G511" s="22" t="s">
        <v>32</v>
      </c>
      <c r="H511" s="3" t="s">
        <v>1105</v>
      </c>
      <c r="I511" s="3"/>
      <c r="J511" s="7" t="n">
        <f aca="false">LEN(E511)-SUMPRODUCT(LEN(E511)-LEN(SUBSTITUTE(E511,{"，","。","？","！","、","…","；","：","《","》"," ","“","”","—","（","）","·"},"")))</f>
        <v>10</v>
      </c>
      <c r="K511" s="23"/>
    </row>
    <row r="512" customFormat="false" ht="36" hidden="false" customHeight="true" outlineLevel="0" collapsed="false">
      <c r="A512" s="7" t="s">
        <v>145</v>
      </c>
      <c r="B512" s="15" t="n">
        <v>4</v>
      </c>
      <c r="C512" s="7" t="n">
        <v>19</v>
      </c>
      <c r="D512" s="22" t="s">
        <v>222</v>
      </c>
      <c r="E512" s="4" t="s">
        <v>1106</v>
      </c>
      <c r="F512" s="23"/>
      <c r="G512" s="22" t="s">
        <v>32</v>
      </c>
      <c r="H512" s="3" t="s">
        <v>1107</v>
      </c>
      <c r="I512" s="3"/>
      <c r="J512" s="7" t="n">
        <f aca="false">LEN(E512)-SUMPRODUCT(LEN(E512)-LEN(SUBSTITUTE(E512,{"，","。","？","！","、","…","；","：","《","》"," ","“","”","—","（","）","·"},"")))</f>
        <v>33</v>
      </c>
      <c r="K512" s="23"/>
    </row>
    <row r="513" customFormat="false" ht="21" hidden="false" customHeight="true" outlineLevel="0" collapsed="false">
      <c r="A513" s="7" t="s">
        <v>145</v>
      </c>
      <c r="B513" s="15" t="n">
        <v>4</v>
      </c>
      <c r="C513" s="7" t="n">
        <v>20</v>
      </c>
      <c r="D513" s="22" t="s">
        <v>232</v>
      </c>
      <c r="E513" s="4" t="s">
        <v>1108</v>
      </c>
      <c r="F513" s="23"/>
      <c r="G513" s="22" t="s">
        <v>42</v>
      </c>
      <c r="H513" s="3"/>
      <c r="I513" s="3"/>
      <c r="J513" s="7" t="n">
        <f aca="false">LEN(E513)-SUMPRODUCT(LEN(E513)-LEN(SUBSTITUTE(E513,{"，","。","？","！","、","…","；","：","《","》"," ","“","”","—","（","）","·"},"")))</f>
        <v>14</v>
      </c>
      <c r="K513" s="23"/>
    </row>
    <row r="514" customFormat="false" ht="21" hidden="false" customHeight="true" outlineLevel="0" collapsed="false">
      <c r="A514" s="7" t="s">
        <v>145</v>
      </c>
      <c r="B514" s="15" t="n">
        <v>4</v>
      </c>
      <c r="C514" s="7" t="n">
        <v>21</v>
      </c>
      <c r="D514" s="22" t="s">
        <v>481</v>
      </c>
      <c r="E514" s="4" t="s">
        <v>1109</v>
      </c>
      <c r="F514" s="23"/>
      <c r="G514" s="22" t="s">
        <v>32</v>
      </c>
      <c r="H514" s="3" t="s">
        <v>1078</v>
      </c>
      <c r="I514" s="3"/>
      <c r="J514" s="7" t="n">
        <f aca="false">LEN(E514)-SUMPRODUCT(LEN(E514)-LEN(SUBSTITUTE(E514,{"，","。","？","！","、","…","；","：","《","》"," ","“","”","—","（","）","·"},"")))</f>
        <v>17</v>
      </c>
      <c r="K514" s="23"/>
    </row>
    <row r="515" customFormat="false" ht="51" hidden="false" customHeight="true" outlineLevel="0" collapsed="false">
      <c r="A515" s="7" t="s">
        <v>145</v>
      </c>
      <c r="B515" s="15" t="n">
        <v>4</v>
      </c>
      <c r="C515" s="7" t="n">
        <v>22</v>
      </c>
      <c r="D515" s="22" t="s">
        <v>219</v>
      </c>
      <c r="E515" s="4" t="s">
        <v>1110</v>
      </c>
      <c r="F515" s="23"/>
      <c r="G515" s="22" t="s">
        <v>32</v>
      </c>
      <c r="H515" s="3" t="s">
        <v>1111</v>
      </c>
      <c r="I515" s="3"/>
      <c r="J515" s="7" t="n">
        <f aca="false">LEN(E515)-SUMPRODUCT(LEN(E515)-LEN(SUBSTITUTE(E515,{"，","。","？","！","、","…","；","：","《","》"," ","“","”","—","（","）","·"},"")))</f>
        <v>37</v>
      </c>
      <c r="K515" s="23"/>
    </row>
    <row r="516" customFormat="false" ht="51" hidden="false" customHeight="true" outlineLevel="0" collapsed="false">
      <c r="A516" s="7" t="s">
        <v>145</v>
      </c>
      <c r="B516" s="15" t="n">
        <v>4</v>
      </c>
      <c r="C516" s="7" t="n">
        <v>23</v>
      </c>
      <c r="D516" s="22" t="s">
        <v>232</v>
      </c>
      <c r="E516" s="4" t="s">
        <v>1112</v>
      </c>
      <c r="F516" s="23"/>
      <c r="G516" s="22" t="s">
        <v>32</v>
      </c>
      <c r="H516" s="3" t="s">
        <v>1113</v>
      </c>
      <c r="I516" s="3"/>
      <c r="J516" s="7" t="n">
        <f aca="false">LEN(E516)-SUMPRODUCT(LEN(E516)-LEN(SUBSTITUTE(E516,{"，","。","？","！","、","…","；","：","《","》"," ","“","”","—","（","）","·"},"")))</f>
        <v>28</v>
      </c>
      <c r="K516" s="23"/>
    </row>
    <row r="517" customFormat="false" ht="36" hidden="false" customHeight="true" outlineLevel="0" collapsed="false">
      <c r="A517" s="7" t="s">
        <v>145</v>
      </c>
      <c r="B517" s="15" t="n">
        <v>4</v>
      </c>
      <c r="C517" s="7" t="n">
        <v>24</v>
      </c>
      <c r="D517" s="22" t="s">
        <v>219</v>
      </c>
      <c r="E517" s="4" t="s">
        <v>1114</v>
      </c>
      <c r="F517" s="23"/>
      <c r="G517" s="22" t="s">
        <v>32</v>
      </c>
      <c r="H517" s="3" t="s">
        <v>1115</v>
      </c>
      <c r="I517" s="4" t="s">
        <v>1116</v>
      </c>
      <c r="J517" s="7" t="n">
        <f aca="false">LEN(E517)-SUMPRODUCT(LEN(E517)-LEN(SUBSTITUTE(E517,{"，","。","？","！","、","…","；","：","《","》"," ","“","”","—","（","）","·"},"")))</f>
        <v>29</v>
      </c>
      <c r="K517" s="23"/>
    </row>
    <row r="518" customFormat="false" ht="21" hidden="false" customHeight="true" outlineLevel="0" collapsed="false">
      <c r="A518" s="7" t="s">
        <v>145</v>
      </c>
      <c r="B518" s="15" t="n">
        <v>4</v>
      </c>
      <c r="C518" s="7" t="n">
        <v>25</v>
      </c>
      <c r="D518" s="22" t="s">
        <v>481</v>
      </c>
      <c r="E518" s="4" t="s">
        <v>1117</v>
      </c>
      <c r="F518" s="23"/>
      <c r="G518" s="22" t="s">
        <v>32</v>
      </c>
      <c r="H518" s="3"/>
      <c r="I518" s="3"/>
      <c r="J518" s="7" t="n">
        <f aca="false">LEN(E518)-SUMPRODUCT(LEN(E518)-LEN(SUBSTITUTE(E518,{"，","。","？","！","、","…","；","：","《","》"," ","“","”","—","（","）","·"},"")))</f>
        <v>7</v>
      </c>
      <c r="K518" s="23"/>
    </row>
    <row r="519" customFormat="false" ht="36" hidden="false" customHeight="true" outlineLevel="0" collapsed="false">
      <c r="A519" s="7" t="s">
        <v>145</v>
      </c>
      <c r="B519" s="15" t="n">
        <v>4</v>
      </c>
      <c r="C519" s="7" t="n">
        <v>26</v>
      </c>
      <c r="D519" s="22" t="s">
        <v>219</v>
      </c>
      <c r="E519" s="4" t="s">
        <v>1118</v>
      </c>
      <c r="F519" s="23"/>
      <c r="G519" s="22" t="s">
        <v>32</v>
      </c>
      <c r="H519" s="3" t="s">
        <v>1119</v>
      </c>
      <c r="I519" s="3"/>
      <c r="J519" s="7" t="n">
        <f aca="false">LEN(E519)-SUMPRODUCT(LEN(E519)-LEN(SUBSTITUTE(E519,{"，","。","？","！","、","…","；","：","《","》"," ","“","”","—","（","）","·"},"")))</f>
        <v>23</v>
      </c>
      <c r="K519" s="23"/>
    </row>
    <row r="520" customFormat="false" ht="36" hidden="false" customHeight="true" outlineLevel="0" collapsed="false">
      <c r="A520" s="7" t="s">
        <v>145</v>
      </c>
      <c r="B520" s="15" t="n">
        <v>4</v>
      </c>
      <c r="C520" s="7" t="n">
        <v>27</v>
      </c>
      <c r="D520" s="22" t="s">
        <v>222</v>
      </c>
      <c r="E520" s="4" t="s">
        <v>1120</v>
      </c>
      <c r="F520" s="23"/>
      <c r="G520" s="22" t="s">
        <v>32</v>
      </c>
      <c r="H520" s="3" t="s">
        <v>263</v>
      </c>
      <c r="I520" s="4" t="s">
        <v>1116</v>
      </c>
      <c r="J520" s="7" t="n">
        <f aca="false">LEN(E520)-SUMPRODUCT(LEN(E520)-LEN(SUBSTITUTE(E520,{"，","。","？","！","、","…","；","：","《","》"," ","“","”","—","（","）","·"},"")))</f>
        <v>28</v>
      </c>
      <c r="K520" s="23"/>
    </row>
    <row r="521" customFormat="false" ht="21" hidden="false" customHeight="true" outlineLevel="0" collapsed="false">
      <c r="A521" s="7" t="s">
        <v>145</v>
      </c>
      <c r="B521" s="15" t="n">
        <v>4</v>
      </c>
      <c r="C521" s="7" t="n">
        <v>28</v>
      </c>
      <c r="D521" s="22" t="s">
        <v>232</v>
      </c>
      <c r="E521" s="4" t="s">
        <v>1121</v>
      </c>
      <c r="F521" s="23"/>
      <c r="G521" s="22" t="s">
        <v>32</v>
      </c>
      <c r="H521" s="3"/>
      <c r="I521" s="3"/>
      <c r="J521" s="7" t="n">
        <f aca="false">LEN(E521)-SUMPRODUCT(LEN(E521)-LEN(SUBSTITUTE(E521,{"，","。","？","！","、","…","；","：","《","》"," ","“","”","—","（","）","·"},"")))</f>
        <v>17</v>
      </c>
      <c r="K521" s="23"/>
    </row>
    <row r="522" customFormat="false" ht="36" hidden="false" customHeight="true" outlineLevel="0" collapsed="false">
      <c r="A522" s="7" t="s">
        <v>145</v>
      </c>
      <c r="B522" s="15" t="n">
        <v>4</v>
      </c>
      <c r="C522" s="7" t="n">
        <v>29</v>
      </c>
      <c r="D522" s="22" t="s">
        <v>219</v>
      </c>
      <c r="E522" s="4" t="s">
        <v>1122</v>
      </c>
      <c r="F522" s="23" t="s">
        <v>1123</v>
      </c>
      <c r="G522" s="22" t="s">
        <v>32</v>
      </c>
      <c r="H522" s="3" t="s">
        <v>1124</v>
      </c>
      <c r="I522" s="4" t="s">
        <v>1125</v>
      </c>
      <c r="J522" s="7" t="n">
        <f aca="false">LEN(E522)-SUMPRODUCT(LEN(E522)-LEN(SUBSTITUTE(E522,{"，","。","？","！","、","…","；","：","《","》"," ","“","”","—","（","）","·"},"")))</f>
        <v>39</v>
      </c>
      <c r="K522" s="23"/>
    </row>
    <row r="523" customFormat="false" ht="21" hidden="false" customHeight="true" outlineLevel="0" collapsed="false">
      <c r="A523" s="7" t="s">
        <v>145</v>
      </c>
      <c r="B523" s="15" t="n">
        <v>4</v>
      </c>
      <c r="C523" s="7" t="n">
        <v>30</v>
      </c>
      <c r="D523" s="22" t="s">
        <v>481</v>
      </c>
      <c r="E523" s="4" t="s">
        <v>856</v>
      </c>
      <c r="F523" s="23"/>
      <c r="G523" s="22" t="s">
        <v>42</v>
      </c>
      <c r="H523" s="3"/>
      <c r="I523" s="3"/>
      <c r="J523" s="7" t="n">
        <f aca="false">LEN(E523)-SUMPRODUCT(LEN(E523)-LEN(SUBSTITUTE(E523,{"，","。","？","！","、","…","；","：","《","》"," ","“","”","—","（","）","·"},"")))</f>
        <v>5</v>
      </c>
      <c r="K523" s="23"/>
    </row>
    <row r="524" customFormat="false" ht="36" hidden="false" customHeight="true" outlineLevel="0" collapsed="false">
      <c r="A524" s="7" t="s">
        <v>145</v>
      </c>
      <c r="B524" s="15" t="n">
        <v>4</v>
      </c>
      <c r="C524" s="7" t="n">
        <v>31</v>
      </c>
      <c r="D524" s="22" t="s">
        <v>219</v>
      </c>
      <c r="E524" s="4" t="s">
        <v>1126</v>
      </c>
      <c r="F524" s="23"/>
      <c r="G524" s="22" t="s">
        <v>32</v>
      </c>
      <c r="H524" s="3" t="s">
        <v>1127</v>
      </c>
      <c r="I524" s="3"/>
      <c r="J524" s="7" t="n">
        <f aca="false">LEN(E524)-SUMPRODUCT(LEN(E524)-LEN(SUBSTITUTE(E524,{"，","。","？","！","、","…","；","：","《","》"," ","“","”","—","（","）","·"},"")))</f>
        <v>44</v>
      </c>
      <c r="K524" s="23"/>
    </row>
    <row r="525" customFormat="false" ht="21" hidden="false" customHeight="true" outlineLevel="0" collapsed="false">
      <c r="A525" s="7" t="s">
        <v>145</v>
      </c>
      <c r="B525" s="15" t="n">
        <v>4</v>
      </c>
      <c r="C525" s="7" t="n">
        <v>32</v>
      </c>
      <c r="D525" s="22" t="s">
        <v>222</v>
      </c>
      <c r="E525" s="4" t="s">
        <v>1128</v>
      </c>
      <c r="F525" s="23"/>
      <c r="G525" s="22" t="s">
        <v>32</v>
      </c>
      <c r="H525" s="3"/>
      <c r="I525" s="3"/>
      <c r="J525" s="7" t="n">
        <f aca="false">LEN(E525)-SUMPRODUCT(LEN(E525)-LEN(SUBSTITUTE(E525,{"，","。","？","！","、","…","；","：","《","》"," ","“","”","—","（","）","·"},"")))</f>
        <v>11</v>
      </c>
      <c r="K525" s="23"/>
    </row>
    <row r="526" customFormat="false" ht="21" hidden="false" customHeight="true" outlineLevel="0" collapsed="false">
      <c r="A526" s="7" t="s">
        <v>145</v>
      </c>
      <c r="B526" s="15" t="n">
        <v>4</v>
      </c>
      <c r="C526" s="7" t="n">
        <v>33</v>
      </c>
      <c r="D526" s="22" t="s">
        <v>219</v>
      </c>
      <c r="E526" s="4" t="s">
        <v>1129</v>
      </c>
      <c r="F526" s="23"/>
      <c r="G526" s="22" t="s">
        <v>32</v>
      </c>
      <c r="H526" s="3" t="s">
        <v>1130</v>
      </c>
      <c r="I526" s="3"/>
      <c r="J526" s="7" t="n">
        <f aca="false">LEN(E526)-SUMPRODUCT(LEN(E526)-LEN(SUBSTITUTE(E526,{"，","。","？","！","、","…","；","：","《","》"," ","“","”","—","（","）","·"},"")))</f>
        <v>17</v>
      </c>
      <c r="K526" s="23"/>
    </row>
    <row r="527" customFormat="false" ht="51" hidden="false" customHeight="true" outlineLevel="0" collapsed="false">
      <c r="A527" s="7" t="s">
        <v>145</v>
      </c>
      <c r="B527" s="15" t="n">
        <v>4</v>
      </c>
      <c r="C527" s="7" t="n">
        <v>34</v>
      </c>
      <c r="D527" s="22" t="s">
        <v>222</v>
      </c>
      <c r="E527" s="4" t="s">
        <v>1131</v>
      </c>
      <c r="F527" s="23" t="s">
        <v>1132</v>
      </c>
      <c r="G527" s="22" t="s">
        <v>32</v>
      </c>
      <c r="H527" s="3" t="s">
        <v>1133</v>
      </c>
      <c r="I527" s="3"/>
      <c r="J527" s="7" t="n">
        <f aca="false">LEN(E527)-SUMPRODUCT(LEN(E527)-LEN(SUBSTITUTE(E527,{"，","。","？","！","、","…","；","：","《","》"," ","“","”","—","（","）","·"},"")))</f>
        <v>18</v>
      </c>
      <c r="K527" s="23"/>
    </row>
    <row r="528" customFormat="false" ht="21" hidden="false" customHeight="true" outlineLevel="0" collapsed="false">
      <c r="A528" s="7" t="s">
        <v>145</v>
      </c>
      <c r="B528" s="15" t="n">
        <v>4</v>
      </c>
      <c r="C528" s="7" t="n">
        <v>35</v>
      </c>
      <c r="D528" s="22" t="s">
        <v>232</v>
      </c>
      <c r="E528" s="4" t="s">
        <v>1134</v>
      </c>
      <c r="F528" s="23"/>
      <c r="G528" s="22" t="s">
        <v>32</v>
      </c>
      <c r="H528" s="3" t="s">
        <v>1135</v>
      </c>
      <c r="I528" s="3"/>
      <c r="J528" s="7" t="n">
        <f aca="false">LEN(E528)-SUMPRODUCT(LEN(E528)-LEN(SUBSTITUTE(E528,{"，","。","？","！","、","…","；","：","《","》"," ","“","”","—","（","）","·"},"")))</f>
        <v>17</v>
      </c>
      <c r="K528" s="23"/>
    </row>
    <row r="529" customFormat="false" ht="21" hidden="false" customHeight="true" outlineLevel="0" collapsed="false">
      <c r="A529" s="7" t="s">
        <v>145</v>
      </c>
      <c r="B529" s="15" t="n">
        <v>4</v>
      </c>
      <c r="C529" s="7" t="n">
        <v>36</v>
      </c>
      <c r="D529" s="22" t="s">
        <v>219</v>
      </c>
      <c r="E529" s="4" t="s">
        <v>1136</v>
      </c>
      <c r="F529" s="23"/>
      <c r="G529" s="22" t="s">
        <v>32</v>
      </c>
      <c r="H529" s="3" t="s">
        <v>580</v>
      </c>
      <c r="I529" s="3"/>
      <c r="J529" s="7" t="n">
        <f aca="false">LEN(E529)-SUMPRODUCT(LEN(E529)-LEN(SUBSTITUTE(E529,{"，","。","？","！","、","…","；","：","《","》"," ","“","”","—","（","）","·"},"")))</f>
        <v>17</v>
      </c>
      <c r="K529" s="23"/>
    </row>
    <row r="530" customFormat="false" ht="21" hidden="false" customHeight="true" outlineLevel="0" collapsed="false">
      <c r="A530" s="7" t="s">
        <v>145</v>
      </c>
      <c r="B530" s="15" t="n">
        <v>4</v>
      </c>
      <c r="C530" s="7" t="n">
        <v>37</v>
      </c>
      <c r="D530" s="22" t="s">
        <v>232</v>
      </c>
      <c r="E530" s="4" t="s">
        <v>1137</v>
      </c>
      <c r="F530" s="23"/>
      <c r="G530" s="22" t="s">
        <v>32</v>
      </c>
      <c r="H530" s="3" t="s">
        <v>580</v>
      </c>
      <c r="I530" s="3"/>
      <c r="J530" s="7" t="n">
        <f aca="false">LEN(E530)-SUMPRODUCT(LEN(E530)-LEN(SUBSTITUTE(E530,{"，","。","？","！","、","…","；","：","《","》"," ","“","”","—","（","）","·"},"")))</f>
        <v>7</v>
      </c>
      <c r="K530" s="23"/>
    </row>
    <row r="531" customFormat="false" ht="21" hidden="false" customHeight="true" outlineLevel="0" collapsed="false">
      <c r="A531" s="7" t="s">
        <v>145</v>
      </c>
      <c r="B531" s="15" t="n">
        <v>4</v>
      </c>
      <c r="C531" s="7" t="n">
        <v>38</v>
      </c>
      <c r="D531" s="22" t="s">
        <v>481</v>
      </c>
      <c r="E531" s="4" t="s">
        <v>1138</v>
      </c>
      <c r="F531" s="23"/>
      <c r="G531" s="22" t="s">
        <v>32</v>
      </c>
      <c r="H531" s="3" t="s">
        <v>1139</v>
      </c>
      <c r="I531" s="3"/>
      <c r="J531" s="7" t="n">
        <f aca="false">LEN(E531)-SUMPRODUCT(LEN(E531)-LEN(SUBSTITUTE(E531,{"，","。","？","！","、","…","；","：","《","》"," ","“","”","—","（","）","·"},"")))</f>
        <v>7</v>
      </c>
      <c r="K531" s="23"/>
    </row>
    <row r="532" customFormat="false" ht="51" hidden="false" customHeight="true" outlineLevel="0" collapsed="false">
      <c r="A532" s="7" t="s">
        <v>145</v>
      </c>
      <c r="B532" s="15" t="n">
        <v>4</v>
      </c>
      <c r="C532" s="7" t="n">
        <v>39</v>
      </c>
      <c r="D532" s="22" t="s">
        <v>219</v>
      </c>
      <c r="E532" s="4" t="s">
        <v>1140</v>
      </c>
      <c r="F532" s="23"/>
      <c r="G532" s="22" t="s">
        <v>32</v>
      </c>
      <c r="H532" s="3" t="s">
        <v>1141</v>
      </c>
      <c r="I532" s="3"/>
      <c r="J532" s="7" t="n">
        <f aca="false">LEN(E532)-SUMPRODUCT(LEN(E532)-LEN(SUBSTITUTE(E532,{"，","。","？","！","、","…","；","：","《","》"," ","“","”","—","（","）","·"},"")))</f>
        <v>28</v>
      </c>
      <c r="K532" s="23"/>
    </row>
    <row r="533" customFormat="false" ht="21" hidden="false" customHeight="true" outlineLevel="0" collapsed="false">
      <c r="A533" s="7" t="s">
        <v>145</v>
      </c>
      <c r="B533" s="15" t="n">
        <v>4</v>
      </c>
      <c r="C533" s="7" t="n">
        <v>40</v>
      </c>
      <c r="D533" s="22" t="s">
        <v>481</v>
      </c>
      <c r="E533" s="4" t="s">
        <v>1142</v>
      </c>
      <c r="F533" s="23"/>
      <c r="G533" s="22" t="s">
        <v>42</v>
      </c>
      <c r="H533" s="3"/>
      <c r="I533" s="4" t="s">
        <v>977</v>
      </c>
      <c r="J533" s="7" t="n">
        <f aca="false">LEN(E533)-SUMPRODUCT(LEN(E533)-LEN(SUBSTITUTE(E533,{"，","。","？","！","、","…","；","：","《","》"," ","“","”","—","（","）","·"},"")))</f>
        <v>7</v>
      </c>
      <c r="K533" s="23"/>
    </row>
    <row r="534" customFormat="false" ht="51" hidden="false" customHeight="true" outlineLevel="0" collapsed="false">
      <c r="A534" s="7" t="s">
        <v>145</v>
      </c>
      <c r="B534" s="15" t="n">
        <v>4</v>
      </c>
      <c r="C534" s="7" t="n">
        <v>41</v>
      </c>
      <c r="D534" s="22" t="s">
        <v>219</v>
      </c>
      <c r="E534" s="4" t="s">
        <v>1143</v>
      </c>
      <c r="F534" s="23"/>
      <c r="G534" s="22" t="s">
        <v>32</v>
      </c>
      <c r="H534" s="3" t="s">
        <v>1144</v>
      </c>
      <c r="I534" s="3"/>
      <c r="J534" s="7" t="n">
        <f aca="false">LEN(E534)-SUMPRODUCT(LEN(E534)-LEN(SUBSTITUTE(E534,{"，","。","？","！","、","…","；","：","《","》"," ","“","”","—","（","）","·"},"")))</f>
        <v>35</v>
      </c>
      <c r="K534" s="23"/>
    </row>
    <row r="535" customFormat="false" ht="21" hidden="false" customHeight="true" outlineLevel="0" collapsed="false">
      <c r="A535" s="7" t="s">
        <v>145</v>
      </c>
      <c r="B535" s="15" t="n">
        <v>4</v>
      </c>
      <c r="C535" s="7" t="n">
        <v>42</v>
      </c>
      <c r="D535" s="22" t="s">
        <v>222</v>
      </c>
      <c r="E535" s="4" t="s">
        <v>1145</v>
      </c>
      <c r="F535" s="23"/>
      <c r="G535" s="22" t="s">
        <v>32</v>
      </c>
      <c r="H535" s="3" t="s">
        <v>1146</v>
      </c>
      <c r="I535" s="3"/>
      <c r="J535" s="7" t="n">
        <f aca="false">LEN(E535)-SUMPRODUCT(LEN(E535)-LEN(SUBSTITUTE(E535,{"，","。","？","！","、","…","；","：","《","》"," ","“","”","—","（","）","·"},"")))</f>
        <v>13</v>
      </c>
      <c r="K535" s="23"/>
    </row>
    <row r="536" customFormat="false" ht="36" hidden="false" customHeight="true" outlineLevel="0" collapsed="false">
      <c r="A536" s="7" t="s">
        <v>145</v>
      </c>
      <c r="B536" s="15" t="n">
        <v>4</v>
      </c>
      <c r="C536" s="7" t="n">
        <v>43</v>
      </c>
      <c r="D536" s="22" t="s">
        <v>219</v>
      </c>
      <c r="E536" s="4" t="s">
        <v>1147</v>
      </c>
      <c r="F536" s="23"/>
      <c r="G536" s="22" t="s">
        <v>34</v>
      </c>
      <c r="H536" s="3" t="s">
        <v>1148</v>
      </c>
      <c r="I536" s="3"/>
      <c r="J536" s="7" t="n">
        <f aca="false">LEN(E536)-SUMPRODUCT(LEN(E536)-LEN(SUBSTITUTE(E536,{"，","。","？","！","、","…","；","：","《","》"," ","“","”","—","（","）","·"},"")))</f>
        <v>34</v>
      </c>
      <c r="K536" s="23"/>
    </row>
    <row r="537" customFormat="false" ht="21" hidden="false" customHeight="true" outlineLevel="0" collapsed="false">
      <c r="A537" s="7" t="s">
        <v>145</v>
      </c>
      <c r="B537" s="15" t="n">
        <v>4</v>
      </c>
      <c r="C537" s="7" t="n">
        <v>44</v>
      </c>
      <c r="D537" s="22" t="s">
        <v>481</v>
      </c>
      <c r="E537" s="4" t="s">
        <v>1149</v>
      </c>
      <c r="F537" s="23"/>
      <c r="G537" s="22" t="s">
        <v>42</v>
      </c>
      <c r="H537" s="3"/>
      <c r="I537" s="3"/>
      <c r="J537" s="7" t="n">
        <f aca="false">LEN(E537)-SUMPRODUCT(LEN(E537)-LEN(SUBSTITUTE(E537,{"，","。","？","！","、","…","；","：","《","》"," ","“","”","—","（","）","·"},"")))</f>
        <v>9</v>
      </c>
      <c r="K537" s="23"/>
    </row>
    <row r="538" customFormat="false" ht="36" hidden="false" customHeight="true" outlineLevel="0" collapsed="false">
      <c r="A538" s="7" t="s">
        <v>150</v>
      </c>
      <c r="B538" s="15" t="n">
        <v>4</v>
      </c>
      <c r="C538" s="7" t="n">
        <v>1</v>
      </c>
      <c r="D538" s="22" t="s">
        <v>229</v>
      </c>
      <c r="E538" s="4" t="s">
        <v>1150</v>
      </c>
      <c r="F538" s="23" t="s">
        <v>226</v>
      </c>
      <c r="G538" s="22" t="s">
        <v>40</v>
      </c>
      <c r="H538" s="3" t="s">
        <v>1151</v>
      </c>
      <c r="I538" s="4" t="s">
        <v>1152</v>
      </c>
      <c r="J538" s="7" t="n">
        <f aca="false">LEN(E538)-SUMPRODUCT(LEN(E538)-LEN(SUBSTITUTE(E538,{"，","。","？","！","、","…","；","：","《","》"," ","“","”","—","（","）","·"},"")))</f>
        <v>36</v>
      </c>
      <c r="K538" s="23"/>
    </row>
    <row r="539" customFormat="false" ht="36" hidden="false" customHeight="true" outlineLevel="0" collapsed="false">
      <c r="A539" s="7" t="s">
        <v>150</v>
      </c>
      <c r="B539" s="15" t="n">
        <v>4</v>
      </c>
      <c r="C539" s="7" t="n">
        <v>2</v>
      </c>
      <c r="D539" s="22" t="s">
        <v>219</v>
      </c>
      <c r="E539" s="4" t="s">
        <v>1153</v>
      </c>
      <c r="F539" s="23"/>
      <c r="G539" s="22" t="s">
        <v>32</v>
      </c>
      <c r="H539" s="3" t="s">
        <v>1154</v>
      </c>
      <c r="I539" s="4" t="s">
        <v>990</v>
      </c>
      <c r="J539" s="7" t="n">
        <f aca="false">LEN(E539)-SUMPRODUCT(LEN(E539)-LEN(SUBSTITUTE(E539,{"，","。","？","！","、","…","；","：","《","》"," ","“","”","—","（","）","·"},"")))</f>
        <v>30</v>
      </c>
      <c r="K539" s="23"/>
    </row>
    <row r="540" customFormat="false" ht="21" hidden="false" customHeight="true" outlineLevel="0" collapsed="false">
      <c r="A540" s="7" t="s">
        <v>150</v>
      </c>
      <c r="B540" s="15" t="n">
        <v>4</v>
      </c>
      <c r="C540" s="7" t="n">
        <v>3</v>
      </c>
      <c r="D540" s="22" t="s">
        <v>219</v>
      </c>
      <c r="E540" s="4" t="s">
        <v>1155</v>
      </c>
      <c r="F540" s="23" t="s">
        <v>1156</v>
      </c>
      <c r="G540" s="22" t="s">
        <v>32</v>
      </c>
      <c r="H540" s="3" t="s">
        <v>1157</v>
      </c>
      <c r="I540" s="3"/>
      <c r="J540" s="7" t="n">
        <f aca="false">LEN(E540)-SUMPRODUCT(LEN(E540)-LEN(SUBSTITUTE(E540,{"，","。","？","！","、","…","；","：","《","》"," ","“","”","—","（","）","·"},"")))</f>
        <v>19</v>
      </c>
      <c r="K540" s="23"/>
    </row>
    <row r="541" customFormat="false" ht="21" hidden="false" customHeight="true" outlineLevel="0" collapsed="false">
      <c r="A541" s="7" t="s">
        <v>150</v>
      </c>
      <c r="B541" s="15" t="n">
        <v>4</v>
      </c>
      <c r="C541" s="7" t="n">
        <v>4</v>
      </c>
      <c r="D541" s="22" t="s">
        <v>222</v>
      </c>
      <c r="E541" s="4" t="s">
        <v>1158</v>
      </c>
      <c r="F541" s="23" t="s">
        <v>1159</v>
      </c>
      <c r="G541" s="22" t="s">
        <v>42</v>
      </c>
      <c r="H541" s="3"/>
      <c r="I541" s="3"/>
      <c r="J541" s="7" t="n">
        <f aca="false">LEN(E541)-SUMPRODUCT(LEN(E541)-LEN(SUBSTITUTE(E541,{"，","。","？","！","、","…","；","：","《","》"," ","“","”","—","（","）","·"},"")))</f>
        <v>9</v>
      </c>
      <c r="K541" s="23"/>
    </row>
    <row r="542" customFormat="false" ht="21" hidden="false" customHeight="true" outlineLevel="0" collapsed="false">
      <c r="A542" s="7" t="s">
        <v>150</v>
      </c>
      <c r="B542" s="15" t="n">
        <v>4</v>
      </c>
      <c r="C542" s="7" t="n">
        <v>5</v>
      </c>
      <c r="D542" s="22" t="s">
        <v>219</v>
      </c>
      <c r="E542" s="4" t="s">
        <v>1160</v>
      </c>
      <c r="F542" s="23"/>
      <c r="G542" s="22" t="s">
        <v>32</v>
      </c>
      <c r="H542" s="4" t="s">
        <v>1161</v>
      </c>
      <c r="I542" s="4" t="s">
        <v>1162</v>
      </c>
      <c r="J542" s="7" t="n">
        <f aca="false">LEN(E542)-SUMPRODUCT(LEN(E542)-LEN(SUBSTITUTE(E542,{"，","。","？","！","、","…","；","：","《","》"," ","“","”","—","（","）","·"},"")))</f>
        <v>14</v>
      </c>
      <c r="K542" s="23"/>
    </row>
    <row r="543" customFormat="false" ht="51" hidden="false" customHeight="true" outlineLevel="0" collapsed="false">
      <c r="A543" s="7" t="s">
        <v>150</v>
      </c>
      <c r="B543" s="15" t="n">
        <v>4</v>
      </c>
      <c r="C543" s="7" t="n">
        <v>6</v>
      </c>
      <c r="D543" s="22" t="s">
        <v>219</v>
      </c>
      <c r="E543" s="4" t="s">
        <v>1163</v>
      </c>
      <c r="F543" s="23"/>
      <c r="G543" s="22" t="s">
        <v>32</v>
      </c>
      <c r="H543" s="3" t="s">
        <v>1164</v>
      </c>
      <c r="I543" s="3"/>
      <c r="J543" s="7" t="n">
        <f aca="false">LEN(E543)-SUMPRODUCT(LEN(E543)-LEN(SUBSTITUTE(E543,{"，","。","？","！","、","…","；","：","《","》"," ","“","”","—","（","）","·"},"")))</f>
        <v>30</v>
      </c>
      <c r="K543" s="23"/>
    </row>
    <row r="544" customFormat="false" ht="21" hidden="false" customHeight="true" outlineLevel="0" collapsed="false">
      <c r="A544" s="7" t="s">
        <v>150</v>
      </c>
      <c r="B544" s="15" t="n">
        <v>4</v>
      </c>
      <c r="C544" s="7" t="n">
        <v>7</v>
      </c>
      <c r="D544" s="22" t="s">
        <v>222</v>
      </c>
      <c r="E544" s="4" t="s">
        <v>1165</v>
      </c>
      <c r="F544" s="23"/>
      <c r="G544" s="22" t="s">
        <v>32</v>
      </c>
      <c r="H544" s="3" t="s">
        <v>1166</v>
      </c>
      <c r="I544" s="3"/>
      <c r="J544" s="7" t="n">
        <f aca="false">LEN(E544)-SUMPRODUCT(LEN(E544)-LEN(SUBSTITUTE(E544,{"，","。","？","！","、","…","；","：","《","》"," ","“","”","—","（","）","·"},"")))</f>
        <v>13</v>
      </c>
      <c r="K544" s="23"/>
    </row>
    <row r="545" customFormat="false" ht="36" hidden="false" customHeight="true" outlineLevel="0" collapsed="false">
      <c r="A545" s="7" t="s">
        <v>150</v>
      </c>
      <c r="B545" s="15" t="n">
        <v>4</v>
      </c>
      <c r="C545" s="7" t="n">
        <v>8</v>
      </c>
      <c r="D545" s="22" t="s">
        <v>219</v>
      </c>
      <c r="E545" s="4" t="s">
        <v>1167</v>
      </c>
      <c r="F545" s="23"/>
      <c r="G545" s="22" t="s">
        <v>32</v>
      </c>
      <c r="H545" s="3" t="s">
        <v>1168</v>
      </c>
      <c r="I545" s="3"/>
      <c r="J545" s="7" t="n">
        <f aca="false">LEN(E545)-SUMPRODUCT(LEN(E545)-LEN(SUBSTITUTE(E545,{"，","。","？","！","、","…","；","：","《","》"," ","“","”","—","（","）","·"},"")))</f>
        <v>22</v>
      </c>
      <c r="K545" s="23"/>
    </row>
    <row r="546" customFormat="false" ht="21" hidden="false" customHeight="true" outlineLevel="0" collapsed="false">
      <c r="A546" s="7" t="s">
        <v>150</v>
      </c>
      <c r="B546" s="15" t="n">
        <v>4</v>
      </c>
      <c r="C546" s="7" t="n">
        <v>9</v>
      </c>
      <c r="D546" s="22" t="s">
        <v>232</v>
      </c>
      <c r="E546" s="4" t="s">
        <v>1169</v>
      </c>
      <c r="F546" s="23" t="s">
        <v>234</v>
      </c>
      <c r="G546" s="22" t="s">
        <v>32</v>
      </c>
      <c r="H546" s="3" t="s">
        <v>1170</v>
      </c>
      <c r="I546" s="3"/>
      <c r="J546" s="7" t="n">
        <f aca="false">LEN(E546)-SUMPRODUCT(LEN(E546)-LEN(SUBSTITUTE(E546,{"，","。","？","！","、","…","；","：","《","》"," ","“","”","—","（","）","·"},"")))</f>
        <v>16</v>
      </c>
      <c r="K546" s="23"/>
    </row>
    <row r="547" customFormat="false" ht="21" hidden="false" customHeight="true" outlineLevel="0" collapsed="false">
      <c r="A547" s="7" t="s">
        <v>150</v>
      </c>
      <c r="B547" s="15" t="n">
        <v>4</v>
      </c>
      <c r="C547" s="7" t="n">
        <v>10</v>
      </c>
      <c r="D547" s="22" t="s">
        <v>219</v>
      </c>
      <c r="E547" s="4" t="s">
        <v>1171</v>
      </c>
      <c r="F547" s="23"/>
      <c r="G547" s="22" t="s">
        <v>32</v>
      </c>
      <c r="H547" s="3" t="s">
        <v>1172</v>
      </c>
      <c r="I547" s="3"/>
      <c r="J547" s="7" t="n">
        <f aca="false">LEN(E547)-SUMPRODUCT(LEN(E547)-LEN(SUBSTITUTE(E547,{"，","。","？","！","、","…","；","：","《","》"," ","“","”","—","（","）","·"},"")))</f>
        <v>21</v>
      </c>
      <c r="K547" s="23"/>
    </row>
    <row r="548" customFormat="false" ht="36" hidden="false" customHeight="true" outlineLevel="0" collapsed="false">
      <c r="A548" s="7" t="s">
        <v>150</v>
      </c>
      <c r="B548" s="15" t="n">
        <v>4</v>
      </c>
      <c r="C548" s="7" t="n">
        <v>11</v>
      </c>
      <c r="D548" s="22" t="s">
        <v>222</v>
      </c>
      <c r="E548" s="4" t="s">
        <v>1173</v>
      </c>
      <c r="F548" s="23"/>
      <c r="G548" s="22" t="s">
        <v>32</v>
      </c>
      <c r="H548" s="3" t="s">
        <v>1174</v>
      </c>
      <c r="I548" s="3"/>
      <c r="J548" s="7" t="n">
        <f aca="false">LEN(E548)-SUMPRODUCT(LEN(E548)-LEN(SUBSTITUTE(E548,{"，","。","？","！","、","…","；","：","《","》"," ","“","”","—","（","）","·"},"")))</f>
        <v>27</v>
      </c>
      <c r="K548" s="23"/>
    </row>
    <row r="549" customFormat="false" ht="36" hidden="false" customHeight="true" outlineLevel="0" collapsed="false">
      <c r="A549" s="7" t="s">
        <v>150</v>
      </c>
      <c r="B549" s="15" t="n">
        <v>4</v>
      </c>
      <c r="C549" s="7" t="n">
        <v>12</v>
      </c>
      <c r="D549" s="22" t="s">
        <v>219</v>
      </c>
      <c r="E549" s="4" t="s">
        <v>1175</v>
      </c>
      <c r="F549" s="23"/>
      <c r="G549" s="22" t="s">
        <v>36</v>
      </c>
      <c r="H549" s="3"/>
      <c r="I549" s="3"/>
      <c r="J549" s="7" t="n">
        <f aca="false">LEN(E549)-SUMPRODUCT(LEN(E549)-LEN(SUBSTITUTE(E549,{"，","。","？","！","、","…","；","：","《","》"," ","“","”","—","（","）","·"},"")))</f>
        <v>13</v>
      </c>
      <c r="K549" s="23"/>
    </row>
    <row r="550" customFormat="false" ht="36" hidden="false" customHeight="true" outlineLevel="0" collapsed="false">
      <c r="A550" s="7" t="s">
        <v>150</v>
      </c>
      <c r="B550" s="15" t="n">
        <v>4</v>
      </c>
      <c r="C550" s="7" t="n">
        <v>13</v>
      </c>
      <c r="D550" s="22" t="s">
        <v>232</v>
      </c>
      <c r="E550" s="4" t="s">
        <v>1176</v>
      </c>
      <c r="F550" s="23" t="s">
        <v>1177</v>
      </c>
      <c r="G550" s="22" t="s">
        <v>32</v>
      </c>
      <c r="H550" s="3" t="s">
        <v>1178</v>
      </c>
      <c r="I550" s="3"/>
      <c r="J550" s="7" t="n">
        <f aca="false">LEN(E550)-SUMPRODUCT(LEN(E550)-LEN(SUBSTITUTE(E550,{"，","。","？","！","、","…","；","：","《","》"," ","“","”","—","（","）","·"},"")))</f>
        <v>27</v>
      </c>
      <c r="K550" s="23"/>
    </row>
    <row r="551" customFormat="false" ht="21" hidden="false" customHeight="true" outlineLevel="0" collapsed="false">
      <c r="A551" s="7" t="s">
        <v>150</v>
      </c>
      <c r="B551" s="15" t="n">
        <v>4</v>
      </c>
      <c r="C551" s="7" t="n">
        <v>14</v>
      </c>
      <c r="D551" s="22" t="s">
        <v>232</v>
      </c>
      <c r="E551" s="4" t="s">
        <v>1179</v>
      </c>
      <c r="F551" s="23"/>
      <c r="G551" s="22" t="s">
        <v>32</v>
      </c>
      <c r="H551" s="3" t="s">
        <v>1180</v>
      </c>
      <c r="I551" s="3"/>
      <c r="J551" s="7" t="n">
        <f aca="false">LEN(E551)-SUMPRODUCT(LEN(E551)-LEN(SUBSTITUTE(E551,{"，","。","？","！","、","…","；","：","《","》"," ","“","”","—","（","）","·"},"")))</f>
        <v>15</v>
      </c>
      <c r="K551" s="23"/>
    </row>
    <row r="552" customFormat="false" ht="36" hidden="false" customHeight="true" outlineLevel="0" collapsed="false">
      <c r="A552" s="7" t="s">
        <v>150</v>
      </c>
      <c r="B552" s="15" t="n">
        <v>4</v>
      </c>
      <c r="C552" s="7" t="n">
        <v>15</v>
      </c>
      <c r="D552" s="22" t="s">
        <v>219</v>
      </c>
      <c r="E552" s="4" t="s">
        <v>1181</v>
      </c>
      <c r="F552" s="23"/>
      <c r="G552" s="22" t="s">
        <v>32</v>
      </c>
      <c r="H552" s="3" t="s">
        <v>1182</v>
      </c>
      <c r="I552" s="3"/>
      <c r="J552" s="7" t="n">
        <f aca="false">LEN(E552)-SUMPRODUCT(LEN(E552)-LEN(SUBSTITUTE(E552,{"，","。","？","！","、","…","；","：","《","》"," ","“","”","—","（","）","·"},"")))</f>
        <v>24</v>
      </c>
      <c r="K552" s="23"/>
    </row>
    <row r="553" customFormat="false" ht="36" hidden="false" customHeight="true" outlineLevel="0" collapsed="false">
      <c r="A553" s="7" t="s">
        <v>150</v>
      </c>
      <c r="B553" s="15" t="n">
        <v>4</v>
      </c>
      <c r="C553" s="7" t="n">
        <v>16</v>
      </c>
      <c r="D553" s="22" t="s">
        <v>219</v>
      </c>
      <c r="E553" s="4" t="s">
        <v>1183</v>
      </c>
      <c r="F553" s="23"/>
      <c r="G553" s="22" t="s">
        <v>32</v>
      </c>
      <c r="H553" s="3" t="s">
        <v>1184</v>
      </c>
      <c r="I553" s="3"/>
      <c r="J553" s="7" t="n">
        <f aca="false">LEN(E553)-SUMPRODUCT(LEN(E553)-LEN(SUBSTITUTE(E553,{"，","。","？","！","、","…","；","：","《","》"," ","“","”","—","（","）","·"},"")))</f>
        <v>20</v>
      </c>
      <c r="K553" s="23"/>
    </row>
    <row r="554" customFormat="false" ht="36" hidden="false" customHeight="true" outlineLevel="0" collapsed="false">
      <c r="A554" s="7" t="s">
        <v>150</v>
      </c>
      <c r="B554" s="15" t="n">
        <v>4</v>
      </c>
      <c r="C554" s="7" t="n">
        <v>17</v>
      </c>
      <c r="D554" s="22" t="s">
        <v>222</v>
      </c>
      <c r="E554" s="4" t="s">
        <v>1185</v>
      </c>
      <c r="F554" s="23"/>
      <c r="G554" s="22" t="s">
        <v>34</v>
      </c>
      <c r="H554" s="3"/>
      <c r="I554" s="3"/>
      <c r="J554" s="7" t="n">
        <f aca="false">LEN(E554)-SUMPRODUCT(LEN(E554)-LEN(SUBSTITUTE(E554,{"，","。","？","！","、","…","；","：","《","》"," ","“","”","—","（","）","·"},"")))</f>
        <v>18</v>
      </c>
      <c r="K554" s="23"/>
    </row>
    <row r="555" customFormat="false" ht="21" hidden="false" customHeight="true" outlineLevel="0" collapsed="false">
      <c r="A555" s="7" t="s">
        <v>150</v>
      </c>
      <c r="B555" s="15" t="n">
        <v>4</v>
      </c>
      <c r="C555" s="7" t="n">
        <v>18</v>
      </c>
      <c r="D555" s="22" t="s">
        <v>219</v>
      </c>
      <c r="E555" s="4" t="s">
        <v>1186</v>
      </c>
      <c r="F555" s="23" t="s">
        <v>1187</v>
      </c>
      <c r="G555" s="22" t="s">
        <v>32</v>
      </c>
      <c r="H555" s="3" t="s">
        <v>1188</v>
      </c>
      <c r="I555" s="3"/>
      <c r="J555" s="7" t="n">
        <f aca="false">LEN(E555)-SUMPRODUCT(LEN(E555)-LEN(SUBSTITUTE(E555,{"，","。","？","！","、","…","；","：","《","》"," ","“","”","—","（","）","·"},"")))</f>
        <v>16</v>
      </c>
      <c r="K555" s="23"/>
    </row>
    <row r="556" customFormat="false" ht="21" hidden="false" customHeight="true" outlineLevel="0" collapsed="false">
      <c r="A556" s="7" t="s">
        <v>150</v>
      </c>
      <c r="B556" s="15" t="n">
        <v>4</v>
      </c>
      <c r="C556" s="7" t="n">
        <v>19</v>
      </c>
      <c r="D556" s="22" t="s">
        <v>219</v>
      </c>
      <c r="E556" s="4" t="s">
        <v>1189</v>
      </c>
      <c r="F556" s="23"/>
      <c r="G556" s="22" t="s">
        <v>32</v>
      </c>
      <c r="H556" s="3" t="s">
        <v>1190</v>
      </c>
      <c r="I556" s="4" t="s">
        <v>1191</v>
      </c>
      <c r="J556" s="7" t="n">
        <f aca="false">LEN(E556)-SUMPRODUCT(LEN(E556)-LEN(SUBSTITUTE(E556,{"，","。","？","！","、","…","；","：","《","》"," ","“","”","—","（","）","·"},"")))</f>
        <v>15</v>
      </c>
      <c r="K556" s="23"/>
    </row>
    <row r="557" customFormat="false" ht="36" hidden="false" customHeight="true" outlineLevel="0" collapsed="false">
      <c r="A557" s="7" t="s">
        <v>150</v>
      </c>
      <c r="B557" s="15" t="n">
        <v>4</v>
      </c>
      <c r="C557" s="7" t="n">
        <v>20</v>
      </c>
      <c r="D557" s="22" t="s">
        <v>232</v>
      </c>
      <c r="E557" s="4" t="s">
        <v>1192</v>
      </c>
      <c r="F557" s="23"/>
      <c r="G557" s="22" t="s">
        <v>32</v>
      </c>
      <c r="H557" s="3" t="s">
        <v>1193</v>
      </c>
      <c r="I557" s="3"/>
      <c r="J557" s="7" t="n">
        <f aca="false">LEN(E557)-SUMPRODUCT(LEN(E557)-LEN(SUBSTITUTE(E557,{"，","。","？","！","、","…","；","：","《","》"," ","“","”","—","（","）","·"},"")))</f>
        <v>32</v>
      </c>
      <c r="K557" s="23"/>
    </row>
    <row r="558" customFormat="false" ht="36" hidden="false" customHeight="true" outlineLevel="0" collapsed="false">
      <c r="A558" s="7" t="s">
        <v>150</v>
      </c>
      <c r="B558" s="15" t="n">
        <v>4</v>
      </c>
      <c r="C558" s="7" t="n">
        <v>21</v>
      </c>
      <c r="D558" s="22" t="s">
        <v>219</v>
      </c>
      <c r="E558" s="4" t="s">
        <v>1194</v>
      </c>
      <c r="F558" s="23"/>
      <c r="G558" s="22" t="s">
        <v>32</v>
      </c>
      <c r="H558" s="3" t="s">
        <v>1195</v>
      </c>
      <c r="I558" s="4" t="s">
        <v>1196</v>
      </c>
      <c r="J558" s="7" t="n">
        <f aca="false">LEN(E558)-SUMPRODUCT(LEN(E558)-LEN(SUBSTITUTE(E558,{"，","。","？","！","、","…","；","：","《","》"," ","“","”","—","（","）","·"},"")))</f>
        <v>24</v>
      </c>
      <c r="K558" s="23"/>
    </row>
    <row r="559" customFormat="false" ht="36" hidden="false" customHeight="true" outlineLevel="0" collapsed="false">
      <c r="A559" s="7" t="s">
        <v>150</v>
      </c>
      <c r="B559" s="15" t="n">
        <v>4</v>
      </c>
      <c r="C559" s="7" t="n">
        <v>22</v>
      </c>
      <c r="D559" s="22" t="s">
        <v>222</v>
      </c>
      <c r="E559" s="4" t="s">
        <v>1197</v>
      </c>
      <c r="F559" s="23"/>
      <c r="G559" s="22" t="s">
        <v>32</v>
      </c>
      <c r="H559" s="3" t="s">
        <v>1198</v>
      </c>
      <c r="I559" s="3"/>
      <c r="J559" s="7" t="n">
        <f aca="false">LEN(E559)-SUMPRODUCT(LEN(E559)-LEN(SUBSTITUTE(E559,{"，","。","？","！","、","…","；","：","《","》"," ","“","”","—","（","）","·"},"")))</f>
        <v>21</v>
      </c>
      <c r="K559" s="23"/>
    </row>
    <row r="560" customFormat="false" ht="36" hidden="false" customHeight="true" outlineLevel="0" collapsed="false">
      <c r="A560" s="7" t="s">
        <v>150</v>
      </c>
      <c r="B560" s="15" t="n">
        <v>4</v>
      </c>
      <c r="C560" s="7" t="n">
        <v>23</v>
      </c>
      <c r="D560" s="22" t="s">
        <v>219</v>
      </c>
      <c r="E560" s="4" t="s">
        <v>1199</v>
      </c>
      <c r="F560" s="23"/>
      <c r="G560" s="22" t="s">
        <v>32</v>
      </c>
      <c r="H560" s="3" t="s">
        <v>1200</v>
      </c>
      <c r="I560" s="3"/>
      <c r="J560" s="7" t="n">
        <f aca="false">LEN(E560)-SUMPRODUCT(LEN(E560)-LEN(SUBSTITUTE(E560,{"，","。","？","！","、","…","；","：","《","》"," ","“","”","—","（","）","·"},"")))</f>
        <v>37</v>
      </c>
      <c r="K560" s="23"/>
    </row>
    <row r="561" customFormat="false" ht="36" hidden="false" customHeight="true" outlineLevel="0" collapsed="false">
      <c r="A561" s="7" t="s">
        <v>150</v>
      </c>
      <c r="B561" s="15" t="n">
        <v>4</v>
      </c>
      <c r="C561" s="7" t="n">
        <v>24</v>
      </c>
      <c r="D561" s="22" t="s">
        <v>222</v>
      </c>
      <c r="E561" s="4" t="s">
        <v>1201</v>
      </c>
      <c r="F561" s="23"/>
      <c r="G561" s="22" t="s">
        <v>32</v>
      </c>
      <c r="H561" s="3" t="s">
        <v>383</v>
      </c>
      <c r="I561" s="3"/>
      <c r="J561" s="7" t="n">
        <f aca="false">LEN(E561)-SUMPRODUCT(LEN(E561)-LEN(SUBSTITUTE(E561,{"，","。","？","！","、","…","；","：","《","》"," ","“","”","—","（","）","·"},"")))</f>
        <v>34</v>
      </c>
      <c r="K561" s="23"/>
    </row>
    <row r="562" customFormat="false" ht="21" hidden="false" customHeight="true" outlineLevel="0" collapsed="false">
      <c r="A562" s="7" t="s">
        <v>150</v>
      </c>
      <c r="B562" s="15" t="n">
        <v>4</v>
      </c>
      <c r="C562" s="7" t="n">
        <v>25</v>
      </c>
      <c r="D562" s="22" t="s">
        <v>219</v>
      </c>
      <c r="E562" s="4" t="s">
        <v>1202</v>
      </c>
      <c r="F562" s="23"/>
      <c r="G562" s="22" t="s">
        <v>42</v>
      </c>
      <c r="H562" s="3"/>
      <c r="I562" s="3"/>
      <c r="J562" s="7" t="n">
        <f aca="false">LEN(E562)-SUMPRODUCT(LEN(E562)-LEN(SUBSTITUTE(E562,{"，","。","？","！","、","…","；","：","《","》"," ","“","”","—","（","）","·"},"")))</f>
        <v>12</v>
      </c>
      <c r="K562" s="23"/>
    </row>
    <row r="563" customFormat="false" ht="21" hidden="false" customHeight="true" outlineLevel="0" collapsed="false">
      <c r="A563" s="7" t="s">
        <v>150</v>
      </c>
      <c r="B563" s="15" t="n">
        <v>4</v>
      </c>
      <c r="C563" s="7" t="n">
        <v>26</v>
      </c>
      <c r="D563" s="22" t="s">
        <v>222</v>
      </c>
      <c r="E563" s="4" t="s">
        <v>1203</v>
      </c>
      <c r="F563" s="23" t="s">
        <v>1204</v>
      </c>
      <c r="G563" s="22" t="s">
        <v>42</v>
      </c>
      <c r="H563" s="3"/>
      <c r="I563" s="4" t="s">
        <v>1205</v>
      </c>
      <c r="J563" s="7" t="n">
        <f aca="false">LEN(E563)-SUMPRODUCT(LEN(E563)-LEN(SUBSTITUTE(E563,{"，","。","？","！","、","…","；","：","《","》"," ","“","”","—","（","）","·"},"")))</f>
        <v>10</v>
      </c>
      <c r="K563" s="23"/>
    </row>
    <row r="564" customFormat="false" ht="21" hidden="false" customHeight="true" outlineLevel="0" collapsed="false">
      <c r="A564" s="7" t="s">
        <v>150</v>
      </c>
      <c r="B564" s="15" t="n">
        <v>4</v>
      </c>
      <c r="C564" s="7" t="n">
        <v>27</v>
      </c>
      <c r="D564" s="22" t="s">
        <v>219</v>
      </c>
      <c r="E564" s="3" t="s">
        <v>1206</v>
      </c>
      <c r="F564" s="23"/>
      <c r="G564" s="22" t="s">
        <v>42</v>
      </c>
      <c r="H564" s="3" t="s">
        <v>1207</v>
      </c>
      <c r="I564" s="3"/>
      <c r="J564" s="7" t="n">
        <f aca="false">LEN(E564)-SUMPRODUCT(LEN(E564)-LEN(SUBSTITUTE(E564,{"，","。","？","！","、","…","；","：","《","》"," ","“","”","—","（","）","·"},"")))</f>
        <v>10</v>
      </c>
      <c r="K564" s="23"/>
    </row>
    <row r="565" customFormat="false" ht="21" hidden="false" customHeight="true" outlineLevel="0" collapsed="false">
      <c r="A565" s="7" t="s">
        <v>150</v>
      </c>
      <c r="B565" s="15" t="n">
        <v>4</v>
      </c>
      <c r="C565" s="7" t="n">
        <v>28</v>
      </c>
      <c r="D565" s="22" t="s">
        <v>222</v>
      </c>
      <c r="E565" s="3" t="s">
        <v>1208</v>
      </c>
      <c r="F565" s="23" t="s">
        <v>1209</v>
      </c>
      <c r="G565" s="22" t="s">
        <v>42</v>
      </c>
      <c r="H565" s="3" t="s">
        <v>1207</v>
      </c>
      <c r="I565" s="3"/>
      <c r="J565" s="7" t="n">
        <f aca="false">LEN(E565)-SUMPRODUCT(LEN(E565)-LEN(SUBSTITUTE(E565,{"，","。","？","！","、","…","；","：","《","》"," ","“","”","—","（","）","·"},"")))</f>
        <v>13</v>
      </c>
      <c r="K565" s="23"/>
    </row>
    <row r="566" customFormat="false" ht="36" hidden="false" customHeight="true" outlineLevel="0" collapsed="false">
      <c r="A566" s="7" t="s">
        <v>150</v>
      </c>
      <c r="B566" s="15" t="n">
        <v>4</v>
      </c>
      <c r="C566" s="7" t="n">
        <v>29</v>
      </c>
      <c r="D566" s="22" t="s">
        <v>219</v>
      </c>
      <c r="E566" s="4" t="s">
        <v>1210</v>
      </c>
      <c r="F566" s="23"/>
      <c r="G566" s="22" t="s">
        <v>42</v>
      </c>
      <c r="H566" s="3" t="s">
        <v>1211</v>
      </c>
      <c r="I566" s="4" t="s">
        <v>1212</v>
      </c>
      <c r="J566" s="7" t="n">
        <f aca="false">LEN(E566)-SUMPRODUCT(LEN(E566)-LEN(SUBSTITUTE(E566,{"，","。","？","！","、","…","；","：","《","》"," ","“","”","—","（","）","·"},"")))</f>
        <v>26</v>
      </c>
      <c r="K566" s="23"/>
    </row>
    <row r="567" customFormat="false" ht="21" hidden="false" customHeight="true" outlineLevel="0" collapsed="false">
      <c r="A567" s="7" t="s">
        <v>150</v>
      </c>
      <c r="B567" s="15" t="n">
        <v>4</v>
      </c>
      <c r="C567" s="7" t="n">
        <v>30</v>
      </c>
      <c r="D567" s="22" t="s">
        <v>232</v>
      </c>
      <c r="E567" s="4" t="s">
        <v>1213</v>
      </c>
      <c r="F567" s="23"/>
      <c r="G567" s="22" t="s">
        <v>42</v>
      </c>
      <c r="H567" s="3" t="s">
        <v>1211</v>
      </c>
      <c r="I567" s="3"/>
      <c r="J567" s="7" t="n">
        <f aca="false">LEN(E567)-SUMPRODUCT(LEN(E567)-LEN(SUBSTITUTE(E567,{"，","。","？","！","、","…","；","：","《","》"," ","“","”","—","（","）","·"},"")))</f>
        <v>16</v>
      </c>
      <c r="K567" s="23"/>
    </row>
    <row r="568" customFormat="false" ht="21" hidden="false" customHeight="true" outlineLevel="0" collapsed="false">
      <c r="A568" s="7" t="s">
        <v>150</v>
      </c>
      <c r="B568" s="15" t="n">
        <v>4</v>
      </c>
      <c r="C568" s="7" t="n">
        <v>31</v>
      </c>
      <c r="D568" s="22" t="s">
        <v>219</v>
      </c>
      <c r="E568" s="4" t="s">
        <v>1214</v>
      </c>
      <c r="F568" s="23"/>
      <c r="G568" s="22" t="s">
        <v>42</v>
      </c>
      <c r="H568" s="3" t="s">
        <v>1215</v>
      </c>
      <c r="I568" s="3"/>
      <c r="J568" s="7" t="n">
        <f aca="false">LEN(E568)-SUMPRODUCT(LEN(E568)-LEN(SUBSTITUTE(E568,{"，","。","？","！","、","…","；","：","《","》"," ","“","”","—","（","）","·"},"")))</f>
        <v>5</v>
      </c>
      <c r="K568" s="23"/>
    </row>
    <row r="569" customFormat="false" ht="21" hidden="false" customHeight="true" outlineLevel="0" collapsed="false">
      <c r="A569" s="7" t="s">
        <v>150</v>
      </c>
      <c r="B569" s="15" t="n">
        <v>4</v>
      </c>
      <c r="C569" s="7" t="n">
        <v>32</v>
      </c>
      <c r="D569" s="22" t="s">
        <v>222</v>
      </c>
      <c r="E569" s="4" t="s">
        <v>1216</v>
      </c>
      <c r="F569" s="23"/>
      <c r="G569" s="22" t="s">
        <v>42</v>
      </c>
      <c r="H569" s="3"/>
      <c r="I569" s="4" t="s">
        <v>983</v>
      </c>
      <c r="J569" s="7" t="n">
        <f aca="false">LEN(E569)-SUMPRODUCT(LEN(E569)-LEN(SUBSTITUTE(E569,{"，","。","？","！","、","…","；","：","《","》"," ","“","”","—","（","）","·"},"")))</f>
        <v>16</v>
      </c>
      <c r="K569" s="23"/>
    </row>
    <row r="570" customFormat="false" ht="21" hidden="false" customHeight="true" outlineLevel="0" collapsed="false">
      <c r="A570" s="7" t="s">
        <v>150</v>
      </c>
      <c r="B570" s="15" t="n">
        <v>4</v>
      </c>
      <c r="C570" s="7" t="n">
        <v>33</v>
      </c>
      <c r="D570" s="22" t="s">
        <v>219</v>
      </c>
      <c r="E570" s="4" t="s">
        <v>1217</v>
      </c>
      <c r="F570" s="23"/>
      <c r="G570" s="22" t="s">
        <v>42</v>
      </c>
      <c r="H570" s="3" t="s">
        <v>1005</v>
      </c>
      <c r="I570" s="4" t="s">
        <v>983</v>
      </c>
      <c r="J570" s="7" t="n">
        <f aca="false">LEN(E570)-SUMPRODUCT(LEN(E570)-LEN(SUBSTITUTE(E570,{"，","。","？","！","、","…","；","：","《","》"," ","“","”","—","（","）","·"},"")))</f>
        <v>20</v>
      </c>
      <c r="K570" s="23"/>
    </row>
    <row r="571" customFormat="false" ht="21" hidden="false" customHeight="true" outlineLevel="0" collapsed="false">
      <c r="A571" s="7" t="s">
        <v>150</v>
      </c>
      <c r="B571" s="15" t="n">
        <v>4</v>
      </c>
      <c r="C571" s="7" t="n">
        <v>34</v>
      </c>
      <c r="D571" s="22" t="s">
        <v>222</v>
      </c>
      <c r="E571" s="3" t="s">
        <v>1218</v>
      </c>
      <c r="F571" s="23" t="s">
        <v>1209</v>
      </c>
      <c r="G571" s="22" t="s">
        <v>42</v>
      </c>
      <c r="H571" s="3" t="s">
        <v>1005</v>
      </c>
      <c r="I571" s="3"/>
      <c r="J571" s="7" t="n">
        <f aca="false">LEN(E571)-SUMPRODUCT(LEN(E571)-LEN(SUBSTITUTE(E571,{"，","。","？","！","、","…","；","：","《","》"," ","“","”","—","（","）","·"},"")))</f>
        <v>12</v>
      </c>
      <c r="K571" s="23"/>
    </row>
    <row r="572" customFormat="false" ht="36" hidden="false" customHeight="true" outlineLevel="0" collapsed="false">
      <c r="A572" s="7" t="s">
        <v>150</v>
      </c>
      <c r="B572" s="15" t="n">
        <v>4</v>
      </c>
      <c r="C572" s="7" t="n">
        <v>35</v>
      </c>
      <c r="D572" s="22" t="s">
        <v>232</v>
      </c>
      <c r="E572" s="4" t="s">
        <v>1219</v>
      </c>
      <c r="F572" s="23"/>
      <c r="G572" s="22" t="s">
        <v>42</v>
      </c>
      <c r="H572" s="3" t="s">
        <v>1220</v>
      </c>
      <c r="I572" s="4" t="s">
        <v>1221</v>
      </c>
      <c r="J572" s="7" t="n">
        <f aca="false">LEN(E572)-SUMPRODUCT(LEN(E572)-LEN(SUBSTITUTE(E572,{"，","。","？","！","、","…","；","：","《","》"," ","“","”","—","（","）","·"},"")))</f>
        <v>24</v>
      </c>
      <c r="K572" s="23"/>
    </row>
    <row r="573" customFormat="false" ht="21" hidden="false" customHeight="true" outlineLevel="0" collapsed="false">
      <c r="A573" s="7" t="s">
        <v>150</v>
      </c>
      <c r="B573" s="15" t="n">
        <v>4</v>
      </c>
      <c r="C573" s="7" t="n">
        <v>36</v>
      </c>
      <c r="D573" s="22" t="s">
        <v>219</v>
      </c>
      <c r="E573" s="4" t="s">
        <v>1222</v>
      </c>
      <c r="F573" s="23"/>
      <c r="G573" s="22" t="s">
        <v>42</v>
      </c>
      <c r="H573" s="3" t="s">
        <v>1220</v>
      </c>
      <c r="I573" s="3"/>
      <c r="J573" s="7" t="n">
        <f aca="false">LEN(E573)-SUMPRODUCT(LEN(E573)-LEN(SUBSTITUTE(E573,{"，","。","？","！","、","…","；","：","《","》"," ","“","”","—","（","）","·"},"")))</f>
        <v>16</v>
      </c>
      <c r="K573" s="23"/>
    </row>
    <row r="574" customFormat="false" ht="21" hidden="false" customHeight="true" outlineLevel="0" collapsed="false">
      <c r="A574" s="7" t="s">
        <v>150</v>
      </c>
      <c r="B574" s="15" t="n">
        <v>4</v>
      </c>
      <c r="C574" s="7" t="n">
        <v>37</v>
      </c>
      <c r="D574" s="22" t="s">
        <v>232</v>
      </c>
      <c r="E574" s="4" t="s">
        <v>1223</v>
      </c>
      <c r="F574" s="23"/>
      <c r="G574" s="22" t="s">
        <v>42</v>
      </c>
      <c r="H574" s="3" t="s">
        <v>1224</v>
      </c>
      <c r="I574" s="3"/>
      <c r="J574" s="7" t="n">
        <f aca="false">LEN(E574)-SUMPRODUCT(LEN(E574)-LEN(SUBSTITUTE(E574,{"，","。","？","！","、","…","；","：","《","》"," ","“","”","—","（","）","·"},"")))</f>
        <v>19</v>
      </c>
      <c r="K574" s="23"/>
    </row>
    <row r="575" customFormat="false" ht="36" hidden="false" customHeight="true" outlineLevel="0" collapsed="false">
      <c r="A575" s="7" t="s">
        <v>150</v>
      </c>
      <c r="B575" s="15" t="n">
        <v>4</v>
      </c>
      <c r="C575" s="7" t="n">
        <v>38</v>
      </c>
      <c r="D575" s="22" t="s">
        <v>219</v>
      </c>
      <c r="E575" s="4" t="s">
        <v>1225</v>
      </c>
      <c r="F575" s="23"/>
      <c r="G575" s="22" t="s">
        <v>42</v>
      </c>
      <c r="H575" s="3"/>
      <c r="I575" s="3"/>
      <c r="J575" s="7" t="n">
        <f aca="false">LEN(E575)-SUMPRODUCT(LEN(E575)-LEN(SUBSTITUTE(E575,{"，","。","？","！","、","…","；","：","《","》"," ","“","”","—","（","）","·"},"")))</f>
        <v>33</v>
      </c>
      <c r="K575" s="23"/>
    </row>
    <row r="576" customFormat="false" ht="36" hidden="false" customHeight="true" outlineLevel="0" collapsed="false">
      <c r="A576" s="7" t="s">
        <v>150</v>
      </c>
      <c r="B576" s="15" t="n">
        <v>4</v>
      </c>
      <c r="C576" s="7" t="n">
        <v>39</v>
      </c>
      <c r="D576" s="22" t="s">
        <v>222</v>
      </c>
      <c r="E576" s="4" t="s">
        <v>1226</v>
      </c>
      <c r="F576" s="23"/>
      <c r="G576" s="22" t="s">
        <v>32</v>
      </c>
      <c r="H576" s="3" t="s">
        <v>1227</v>
      </c>
      <c r="I576" s="3"/>
      <c r="J576" s="7" t="n">
        <f aca="false">LEN(E576)-SUMPRODUCT(LEN(E576)-LEN(SUBSTITUTE(E576,{"，","。","？","！","、","…","；","：","《","》"," ","“","”","—","（","）","·"},"")))</f>
        <v>25</v>
      </c>
      <c r="K576" s="23"/>
    </row>
    <row r="577" customFormat="false" ht="36" hidden="false" customHeight="true" outlineLevel="0" collapsed="false">
      <c r="A577" s="7" t="s">
        <v>150</v>
      </c>
      <c r="B577" s="15" t="n">
        <v>4</v>
      </c>
      <c r="C577" s="7" t="n">
        <v>40</v>
      </c>
      <c r="D577" s="22" t="s">
        <v>219</v>
      </c>
      <c r="E577" s="4" t="s">
        <v>1228</v>
      </c>
      <c r="F577" s="23" t="s">
        <v>1229</v>
      </c>
      <c r="G577" s="22" t="s">
        <v>32</v>
      </c>
      <c r="H577" s="3" t="s">
        <v>1230</v>
      </c>
      <c r="I577" s="4" t="s">
        <v>1231</v>
      </c>
      <c r="J577" s="7" t="n">
        <f aca="false">LEN(E577)-SUMPRODUCT(LEN(E577)-LEN(SUBSTITUTE(E577,{"，","。","？","！","、","…","；","：","《","》"," ","“","”","—","（","）","·"},"")))</f>
        <v>36</v>
      </c>
      <c r="K577" s="23"/>
    </row>
    <row r="578" customFormat="false" ht="21" hidden="false" customHeight="true" outlineLevel="0" collapsed="false">
      <c r="A578" s="7" t="s">
        <v>150</v>
      </c>
      <c r="B578" s="15" t="n">
        <v>4</v>
      </c>
      <c r="C578" s="7" t="n">
        <v>41</v>
      </c>
      <c r="D578" s="22" t="s">
        <v>232</v>
      </c>
      <c r="E578" s="4" t="s">
        <v>1232</v>
      </c>
      <c r="F578" s="23" t="s">
        <v>1233</v>
      </c>
      <c r="G578" s="22" t="s">
        <v>32</v>
      </c>
      <c r="H578" s="3" t="s">
        <v>1234</v>
      </c>
      <c r="I578" s="3"/>
      <c r="J578" s="7" t="n">
        <f aca="false">LEN(E578)-SUMPRODUCT(LEN(E578)-LEN(SUBSTITUTE(E578,{"，","。","？","！","、","…","；","：","《","》"," ","“","”","—","（","）","·"},"")))</f>
        <v>9</v>
      </c>
      <c r="K578" s="23"/>
    </row>
    <row r="579" customFormat="false" ht="36" hidden="false" customHeight="true" outlineLevel="0" collapsed="false">
      <c r="A579" s="7" t="s">
        <v>150</v>
      </c>
      <c r="B579" s="15" t="n">
        <v>4</v>
      </c>
      <c r="C579" s="7" t="n">
        <v>42</v>
      </c>
      <c r="D579" s="22" t="s">
        <v>219</v>
      </c>
      <c r="E579" s="4" t="s">
        <v>1235</v>
      </c>
      <c r="F579" s="23"/>
      <c r="G579" s="22" t="s">
        <v>32</v>
      </c>
      <c r="H579" s="3" t="s">
        <v>1236</v>
      </c>
      <c r="I579" s="4" t="s">
        <v>930</v>
      </c>
      <c r="J579" s="7" t="n">
        <f aca="false">LEN(E579)-SUMPRODUCT(LEN(E579)-LEN(SUBSTITUTE(E579,{"，","。","？","！","、","…","；","：","《","》"," ","“","”","—","（","）","·"},"")))</f>
        <v>26</v>
      </c>
      <c r="K579" s="23"/>
    </row>
    <row r="580" customFormat="false" ht="36" hidden="false" customHeight="true" outlineLevel="0" collapsed="false">
      <c r="A580" s="7" t="s">
        <v>150</v>
      </c>
      <c r="B580" s="15" t="n">
        <v>4</v>
      </c>
      <c r="C580" s="7" t="n">
        <v>43</v>
      </c>
      <c r="D580" s="22" t="s">
        <v>229</v>
      </c>
      <c r="E580" s="4" t="s">
        <v>1237</v>
      </c>
      <c r="F580" s="23" t="s">
        <v>226</v>
      </c>
      <c r="G580" s="22" t="s">
        <v>40</v>
      </c>
      <c r="H580" s="3" t="s">
        <v>1238</v>
      </c>
      <c r="I580" s="3"/>
      <c r="J580" s="7" t="n">
        <f aca="false">LEN(E580)-SUMPRODUCT(LEN(E580)-LEN(SUBSTITUTE(E580,{"，","。","？","！","、","…","；","：","《","》"," ","“","”","—","（","）","·"},"")))</f>
        <v>28</v>
      </c>
      <c r="K580" s="23"/>
    </row>
    <row r="581" customFormat="false" ht="36" hidden="false" customHeight="true" outlineLevel="0" collapsed="false">
      <c r="A581" s="7" t="s">
        <v>150</v>
      </c>
      <c r="B581" s="15" t="n">
        <v>4</v>
      </c>
      <c r="C581" s="7" t="n">
        <v>44</v>
      </c>
      <c r="D581" s="22" t="s">
        <v>219</v>
      </c>
      <c r="E581" s="4" t="s">
        <v>1239</v>
      </c>
      <c r="F581" s="23"/>
      <c r="G581" s="22" t="s">
        <v>40</v>
      </c>
      <c r="H581" s="3" t="s">
        <v>1240</v>
      </c>
      <c r="I581" s="4" t="s">
        <v>1241</v>
      </c>
      <c r="J581" s="7" t="n">
        <f aca="false">LEN(E581)-SUMPRODUCT(LEN(E581)-LEN(SUBSTITUTE(E581,{"，","。","？","！","、","…","；","：","《","》"," ","“","”","—","（","）","·"},"")))</f>
        <v>19</v>
      </c>
      <c r="K581" s="23"/>
    </row>
    <row r="582" customFormat="false" ht="21" hidden="false" customHeight="true" outlineLevel="0" collapsed="false">
      <c r="A582" s="7" t="s">
        <v>150</v>
      </c>
      <c r="B582" s="15" t="n">
        <v>4</v>
      </c>
      <c r="C582" s="7" t="n">
        <v>45</v>
      </c>
      <c r="D582" s="22" t="s">
        <v>222</v>
      </c>
      <c r="E582" s="4" t="s">
        <v>1242</v>
      </c>
      <c r="F582" s="23" t="s">
        <v>380</v>
      </c>
      <c r="G582" s="22" t="s">
        <v>32</v>
      </c>
      <c r="H582" s="3" t="s">
        <v>1170</v>
      </c>
      <c r="I582" s="3"/>
      <c r="J582" s="7" t="n">
        <f aca="false">LEN(E582)-SUMPRODUCT(LEN(E582)-LEN(SUBSTITUTE(E582,{"，","。","？","！","、","…","；","：","《","》"," ","“","”","—","（","）","·"},"")))</f>
        <v>21</v>
      </c>
      <c r="K582" s="23"/>
    </row>
    <row r="583" customFormat="false" ht="36" hidden="false" customHeight="true" outlineLevel="0" collapsed="false">
      <c r="A583" s="7" t="s">
        <v>155</v>
      </c>
      <c r="B583" s="15" t="n">
        <v>5</v>
      </c>
      <c r="C583" s="7" t="n">
        <v>1</v>
      </c>
      <c r="D583" s="22" t="s">
        <v>219</v>
      </c>
      <c r="E583" s="4" t="s">
        <v>1243</v>
      </c>
      <c r="F583" s="23" t="s">
        <v>226</v>
      </c>
      <c r="G583" s="22" t="s">
        <v>40</v>
      </c>
      <c r="H583" s="3"/>
      <c r="I583" s="4" t="s">
        <v>1244</v>
      </c>
      <c r="J583" s="7" t="n">
        <f aca="false">LEN(E583)-SUMPRODUCT(LEN(E583)-LEN(SUBSTITUTE(E583,{"，","。","？","！","、","…","；","：","《","》"," ","“","”","—","（","）","·"},"")))</f>
        <v>31</v>
      </c>
      <c r="K583" s="23"/>
    </row>
    <row r="584" customFormat="false" ht="36" hidden="false" customHeight="true" outlineLevel="0" collapsed="false">
      <c r="A584" s="7" t="s">
        <v>155</v>
      </c>
      <c r="B584" s="15" t="n">
        <v>5</v>
      </c>
      <c r="C584" s="7" t="n">
        <v>2</v>
      </c>
      <c r="D584" s="22" t="s">
        <v>219</v>
      </c>
      <c r="E584" s="4" t="s">
        <v>1245</v>
      </c>
      <c r="F584" s="23"/>
      <c r="G584" s="22" t="s">
        <v>42</v>
      </c>
      <c r="H584" s="3" t="s">
        <v>1246</v>
      </c>
      <c r="I584" s="4" t="s">
        <v>1247</v>
      </c>
      <c r="J584" s="7" t="n">
        <f aca="false">LEN(E584)-SUMPRODUCT(LEN(E584)-LEN(SUBSTITUTE(E584,{"，","。","？","！","、","…","；","：","《","》"," ","“","”","—","（","）","·"},"")))</f>
        <v>35</v>
      </c>
      <c r="K584" s="23"/>
    </row>
    <row r="585" customFormat="false" ht="21" hidden="false" customHeight="true" outlineLevel="0" collapsed="false">
      <c r="A585" s="7" t="s">
        <v>155</v>
      </c>
      <c r="B585" s="15" t="n">
        <v>5</v>
      </c>
      <c r="C585" s="7" t="n">
        <v>3</v>
      </c>
      <c r="D585" s="22" t="s">
        <v>222</v>
      </c>
      <c r="E585" s="4" t="s">
        <v>1248</v>
      </c>
      <c r="F585" s="23"/>
      <c r="G585" s="22" t="s">
        <v>42</v>
      </c>
      <c r="H585" s="3" t="s">
        <v>1246</v>
      </c>
      <c r="I585" s="4" t="s">
        <v>1249</v>
      </c>
      <c r="J585" s="7" t="n">
        <f aca="false">LEN(E585)-SUMPRODUCT(LEN(E585)-LEN(SUBSTITUTE(E585,{"，","。","？","！","、","…","；","：","《","》"," ","“","”","—","（","）","·"},"")))</f>
        <v>14</v>
      </c>
      <c r="K585" s="23"/>
    </row>
    <row r="586" customFormat="false" ht="36" hidden="false" customHeight="true" outlineLevel="0" collapsed="false">
      <c r="A586" s="7" t="s">
        <v>155</v>
      </c>
      <c r="B586" s="15" t="n">
        <v>5</v>
      </c>
      <c r="C586" s="7" t="n">
        <v>4</v>
      </c>
      <c r="D586" s="22" t="s">
        <v>219</v>
      </c>
      <c r="E586" s="4" t="s">
        <v>1250</v>
      </c>
      <c r="F586" s="23"/>
      <c r="G586" s="22" t="s">
        <v>30</v>
      </c>
      <c r="H586" s="3"/>
      <c r="I586" s="4" t="s">
        <v>1251</v>
      </c>
      <c r="J586" s="7" t="n">
        <f aca="false">LEN(E586)-SUMPRODUCT(LEN(E586)-LEN(SUBSTITUTE(E586,{"，","。","？","！","、","…","；","：","《","》"," ","“","”","—","（","）","·"},"")))</f>
        <v>32</v>
      </c>
      <c r="K586" s="23"/>
    </row>
    <row r="587" customFormat="false" ht="36" hidden="false" customHeight="true" outlineLevel="0" collapsed="false">
      <c r="A587" s="7" t="s">
        <v>155</v>
      </c>
      <c r="B587" s="15" t="n">
        <v>5</v>
      </c>
      <c r="C587" s="7" t="n">
        <v>5</v>
      </c>
      <c r="D587" s="22" t="s">
        <v>219</v>
      </c>
      <c r="E587" s="4" t="s">
        <v>1252</v>
      </c>
      <c r="F587" s="23" t="s">
        <v>1253</v>
      </c>
      <c r="G587" s="22" t="s">
        <v>30</v>
      </c>
      <c r="H587" s="3"/>
      <c r="I587" s="4" t="s">
        <v>1254</v>
      </c>
      <c r="J587" s="7" t="n">
        <f aca="false">LEN(E587)-SUMPRODUCT(LEN(E587)-LEN(SUBSTITUTE(E587,{"，","。","？","！","、","…","；","：","《","》"," ","“","”","—","（","）","·"},"")))</f>
        <v>32</v>
      </c>
      <c r="K587" s="23"/>
    </row>
    <row r="588" customFormat="false" ht="36" hidden="false" customHeight="true" outlineLevel="0" collapsed="false">
      <c r="A588" s="7" t="s">
        <v>155</v>
      </c>
      <c r="B588" s="15" t="n">
        <v>5</v>
      </c>
      <c r="C588" s="7" t="n">
        <v>6</v>
      </c>
      <c r="D588" s="22" t="s">
        <v>232</v>
      </c>
      <c r="E588" s="4" t="s">
        <v>1255</v>
      </c>
      <c r="F588" s="23"/>
      <c r="G588" s="22" t="s">
        <v>30</v>
      </c>
      <c r="H588" s="3"/>
      <c r="I588" s="4" t="s">
        <v>1256</v>
      </c>
      <c r="J588" s="7" t="n">
        <f aca="false">LEN(E588)-SUMPRODUCT(LEN(E588)-LEN(SUBSTITUTE(E588,{"，","。","？","！","、","…","；","：","《","》"," ","“","”","—","（","）","·"},"")))</f>
        <v>11</v>
      </c>
      <c r="K588" s="23"/>
    </row>
    <row r="589" customFormat="false" ht="36" hidden="false" customHeight="true" outlineLevel="0" collapsed="false">
      <c r="A589" s="7" t="s">
        <v>155</v>
      </c>
      <c r="B589" s="15" t="n">
        <v>5</v>
      </c>
      <c r="C589" s="7" t="n">
        <v>7</v>
      </c>
      <c r="D589" s="22" t="s">
        <v>219</v>
      </c>
      <c r="E589" s="4" t="s">
        <v>1257</v>
      </c>
      <c r="F589" s="23"/>
      <c r="G589" s="22" t="s">
        <v>30</v>
      </c>
      <c r="H589" s="3"/>
      <c r="I589" s="4" t="s">
        <v>1258</v>
      </c>
      <c r="J589" s="7" t="n">
        <f aca="false">LEN(E589)-SUMPRODUCT(LEN(E589)-LEN(SUBSTITUTE(E589,{"，","。","？","！","、","…","；","：","《","》"," ","“","”","—","（","）","·"},"")))</f>
        <v>16</v>
      </c>
      <c r="K589" s="23"/>
    </row>
    <row r="590" customFormat="false" ht="36" hidden="false" customHeight="true" outlineLevel="0" collapsed="false">
      <c r="A590" s="7" t="s">
        <v>155</v>
      </c>
      <c r="B590" s="15" t="n">
        <v>5</v>
      </c>
      <c r="C590" s="7" t="n">
        <v>8</v>
      </c>
      <c r="D590" s="22" t="s">
        <v>222</v>
      </c>
      <c r="E590" s="4" t="s">
        <v>1259</v>
      </c>
      <c r="F590" s="23" t="s">
        <v>1260</v>
      </c>
      <c r="G590" s="22" t="s">
        <v>30</v>
      </c>
      <c r="H590" s="3"/>
      <c r="I590" s="4" t="s">
        <v>1261</v>
      </c>
      <c r="J590" s="7" t="n">
        <f aca="false">LEN(E590)-SUMPRODUCT(LEN(E590)-LEN(SUBSTITUTE(E590,{"，","。","？","！","、","…","；","：","《","》"," ","“","”","—","（","）","·"},"")))</f>
        <v>18</v>
      </c>
      <c r="K590" s="23"/>
    </row>
    <row r="591" customFormat="false" ht="36" hidden="false" customHeight="true" outlineLevel="0" collapsed="false">
      <c r="A591" s="7" t="s">
        <v>155</v>
      </c>
      <c r="B591" s="15" t="n">
        <v>5</v>
      </c>
      <c r="C591" s="7" t="n">
        <v>9</v>
      </c>
      <c r="D591" s="22" t="s">
        <v>219</v>
      </c>
      <c r="E591" s="4" t="s">
        <v>1262</v>
      </c>
      <c r="F591" s="23"/>
      <c r="G591" s="22" t="s">
        <v>30</v>
      </c>
      <c r="H591" s="3"/>
      <c r="I591" s="4" t="s">
        <v>1263</v>
      </c>
      <c r="J591" s="7" t="n">
        <f aca="false">LEN(E591)-SUMPRODUCT(LEN(E591)-LEN(SUBSTITUTE(E591,{"，","。","？","！","、","…","；","：","《","》"," ","“","”","—","（","）","·"},"")))</f>
        <v>32</v>
      </c>
      <c r="K591" s="23"/>
    </row>
    <row r="592" customFormat="false" ht="36" hidden="false" customHeight="true" outlineLevel="0" collapsed="false">
      <c r="A592" s="7" t="s">
        <v>155</v>
      </c>
      <c r="B592" s="15" t="n">
        <v>5</v>
      </c>
      <c r="C592" s="7" t="n">
        <v>10</v>
      </c>
      <c r="D592" s="22" t="s">
        <v>229</v>
      </c>
      <c r="E592" s="4" t="s">
        <v>1264</v>
      </c>
      <c r="F592" s="23" t="s">
        <v>234</v>
      </c>
      <c r="G592" s="22" t="s">
        <v>40</v>
      </c>
      <c r="H592" s="3"/>
      <c r="I592" s="3"/>
      <c r="J592" s="7" t="n">
        <f aca="false">LEN(E592)-SUMPRODUCT(LEN(E592)-LEN(SUBSTITUTE(E592,{"，","。","？","！","、","…","；","：","《","》"," ","“","”","—","（","）","·"},"")))</f>
        <v>14</v>
      </c>
      <c r="K592" s="23"/>
    </row>
    <row r="593" customFormat="false" ht="36" hidden="false" customHeight="true" outlineLevel="0" collapsed="false">
      <c r="A593" s="7" t="s">
        <v>155</v>
      </c>
      <c r="B593" s="15" t="n">
        <v>5</v>
      </c>
      <c r="C593" s="7" t="n">
        <v>11</v>
      </c>
      <c r="D593" s="22" t="s">
        <v>219</v>
      </c>
      <c r="E593" s="4" t="s">
        <v>1265</v>
      </c>
      <c r="F593" s="23"/>
      <c r="G593" s="22" t="s">
        <v>40</v>
      </c>
      <c r="H593" s="3"/>
      <c r="I593" s="3"/>
      <c r="J593" s="7" t="n">
        <f aca="false">LEN(E593)-SUMPRODUCT(LEN(E593)-LEN(SUBSTITUTE(E593,{"，","。","？","！","、","…","；","：","《","》"," ","“","”","—","（","）","·"},"")))</f>
        <v>13</v>
      </c>
      <c r="K593" s="23"/>
    </row>
    <row r="594" customFormat="false" ht="21" hidden="false" customHeight="true" outlineLevel="0" collapsed="false">
      <c r="A594" s="7" t="s">
        <v>155</v>
      </c>
      <c r="B594" s="15" t="n">
        <v>5</v>
      </c>
      <c r="C594" s="7" t="n">
        <v>12</v>
      </c>
      <c r="D594" s="22" t="s">
        <v>232</v>
      </c>
      <c r="E594" s="4" t="s">
        <v>1266</v>
      </c>
      <c r="F594" s="23"/>
      <c r="G594" s="22" t="s">
        <v>32</v>
      </c>
      <c r="H594" s="3"/>
      <c r="I594" s="4" t="s">
        <v>561</v>
      </c>
      <c r="J594" s="7" t="n">
        <f aca="false">LEN(E594)-SUMPRODUCT(LEN(E594)-LEN(SUBSTITUTE(E594,{"，","。","？","！","、","…","；","：","《","》"," ","“","”","—","（","）","·"},"")))</f>
        <v>9</v>
      </c>
      <c r="K594" s="23"/>
    </row>
    <row r="595" customFormat="false" ht="36" hidden="false" customHeight="true" outlineLevel="0" collapsed="false">
      <c r="A595" s="7" t="s">
        <v>155</v>
      </c>
      <c r="B595" s="15" t="n">
        <v>5</v>
      </c>
      <c r="C595" s="7" t="n">
        <v>13</v>
      </c>
      <c r="D595" s="22" t="s">
        <v>219</v>
      </c>
      <c r="E595" s="4" t="s">
        <v>1267</v>
      </c>
      <c r="F595" s="23"/>
      <c r="G595" s="22" t="s">
        <v>32</v>
      </c>
      <c r="H595" s="3" t="s">
        <v>1268</v>
      </c>
      <c r="I595" s="4" t="s">
        <v>1269</v>
      </c>
      <c r="J595" s="7" t="n">
        <f aca="false">LEN(E595)-SUMPRODUCT(LEN(E595)-LEN(SUBSTITUTE(E595,{"，","。","？","！","、","…","；","：","《","》"," ","“","”","—","（","）","·"},"")))</f>
        <v>42</v>
      </c>
      <c r="K595" s="23"/>
    </row>
    <row r="596" customFormat="false" ht="36" hidden="false" customHeight="true" outlineLevel="0" collapsed="false">
      <c r="A596" s="7" t="s">
        <v>155</v>
      </c>
      <c r="B596" s="15" t="n">
        <v>5</v>
      </c>
      <c r="C596" s="7" t="n">
        <v>14</v>
      </c>
      <c r="D596" s="22" t="s">
        <v>232</v>
      </c>
      <c r="E596" s="4" t="s">
        <v>1270</v>
      </c>
      <c r="F596" s="23"/>
      <c r="G596" s="22" t="s">
        <v>32</v>
      </c>
      <c r="H596" s="3" t="s">
        <v>1271</v>
      </c>
      <c r="I596" s="4" t="s">
        <v>1272</v>
      </c>
      <c r="J596" s="7" t="n">
        <f aca="false">LEN(E596)-SUMPRODUCT(LEN(E596)-LEN(SUBSTITUTE(E596,{"，","。","？","！","、","…","；","：","《","》"," ","“","”","—","（","）","·"},"")))</f>
        <v>27</v>
      </c>
      <c r="K596" s="23"/>
    </row>
    <row r="597" customFormat="false" ht="36" hidden="false" customHeight="true" outlineLevel="0" collapsed="false">
      <c r="A597" s="7" t="s">
        <v>155</v>
      </c>
      <c r="B597" s="15" t="n">
        <v>5</v>
      </c>
      <c r="C597" s="7" t="n">
        <v>15</v>
      </c>
      <c r="D597" s="22" t="s">
        <v>219</v>
      </c>
      <c r="E597" s="4" t="s">
        <v>1273</v>
      </c>
      <c r="F597" s="23"/>
      <c r="G597" s="22" t="s">
        <v>30</v>
      </c>
      <c r="H597" s="3"/>
      <c r="I597" s="4" t="s">
        <v>1274</v>
      </c>
      <c r="J597" s="7" t="n">
        <f aca="false">LEN(E597)-SUMPRODUCT(LEN(E597)-LEN(SUBSTITUTE(E597,{"，","。","？","！","、","…","；","：","《","》"," ","“","”","—","（","）","·"},"")))</f>
        <v>36</v>
      </c>
      <c r="K597" s="23"/>
    </row>
    <row r="598" customFormat="false" ht="36" hidden="false" customHeight="true" outlineLevel="0" collapsed="false">
      <c r="A598" s="7" t="s">
        <v>155</v>
      </c>
      <c r="B598" s="15" t="n">
        <v>5</v>
      </c>
      <c r="C598" s="7" t="n">
        <v>16</v>
      </c>
      <c r="D598" s="22" t="s">
        <v>222</v>
      </c>
      <c r="E598" s="4" t="s">
        <v>1275</v>
      </c>
      <c r="F598" s="23"/>
      <c r="G598" s="22" t="s">
        <v>30</v>
      </c>
      <c r="H598" s="3"/>
      <c r="I598" s="4" t="s">
        <v>1249</v>
      </c>
      <c r="J598" s="7" t="n">
        <f aca="false">LEN(E598)-SUMPRODUCT(LEN(E598)-LEN(SUBSTITUTE(E598,{"，","。","？","！","、","…","；","：","《","》"," ","“","”","—","（","）","·"},"")))</f>
        <v>19</v>
      </c>
      <c r="K598" s="23"/>
    </row>
    <row r="599" customFormat="false" ht="36" hidden="false" customHeight="true" outlineLevel="0" collapsed="false">
      <c r="A599" s="7" t="s">
        <v>155</v>
      </c>
      <c r="B599" s="15" t="n">
        <v>5</v>
      </c>
      <c r="C599" s="7" t="n">
        <v>17</v>
      </c>
      <c r="D599" s="22" t="s">
        <v>219</v>
      </c>
      <c r="E599" s="4" t="s">
        <v>1276</v>
      </c>
      <c r="F599" s="23"/>
      <c r="G599" s="22" t="s">
        <v>30</v>
      </c>
      <c r="H599" s="3"/>
      <c r="I599" s="4" t="s">
        <v>1277</v>
      </c>
      <c r="J599" s="7" t="n">
        <f aca="false">LEN(E599)-SUMPRODUCT(LEN(E599)-LEN(SUBSTITUTE(E599,{"，","。","？","！","、","…","；","：","《","》"," ","“","”","—","（","）","·"},"")))</f>
        <v>31</v>
      </c>
      <c r="K599" s="23"/>
    </row>
    <row r="600" customFormat="false" ht="36" hidden="false" customHeight="true" outlineLevel="0" collapsed="false">
      <c r="A600" s="7" t="s">
        <v>155</v>
      </c>
      <c r="B600" s="15" t="n">
        <v>5</v>
      </c>
      <c r="C600" s="7" t="n">
        <v>18</v>
      </c>
      <c r="D600" s="22" t="s">
        <v>232</v>
      </c>
      <c r="E600" s="4" t="s">
        <v>1278</v>
      </c>
      <c r="F600" s="23" t="s">
        <v>1279</v>
      </c>
      <c r="G600" s="22" t="s">
        <v>30</v>
      </c>
      <c r="H600" s="3"/>
      <c r="I600" s="4" t="s">
        <v>1280</v>
      </c>
      <c r="J600" s="7" t="n">
        <f aca="false">LEN(E600)-SUMPRODUCT(LEN(E600)-LEN(SUBSTITUTE(E600,{"，","。","？","！","、","…","；","：","《","》"," ","“","”","—","（","）","·"},"")))</f>
        <v>30</v>
      </c>
      <c r="K600" s="23"/>
    </row>
    <row r="601" customFormat="false" ht="21" hidden="false" customHeight="true" outlineLevel="0" collapsed="false">
      <c r="A601" s="7" t="s">
        <v>155</v>
      </c>
      <c r="B601" s="15" t="n">
        <v>5</v>
      </c>
      <c r="C601" s="7" t="n">
        <v>19</v>
      </c>
      <c r="D601" s="22" t="s">
        <v>222</v>
      </c>
      <c r="E601" s="4" t="s">
        <v>1281</v>
      </c>
      <c r="F601" s="23"/>
      <c r="G601" s="22" t="s">
        <v>42</v>
      </c>
      <c r="H601" s="3"/>
      <c r="I601" s="4" t="s">
        <v>1282</v>
      </c>
      <c r="J601" s="7" t="n">
        <f aca="false">LEN(E601)-SUMPRODUCT(LEN(E601)-LEN(SUBSTITUTE(E601,{"，","。","？","！","、","…","；","：","《","》"," ","“","”","—","（","）","·"},"")))</f>
        <v>8</v>
      </c>
      <c r="K601" s="23"/>
    </row>
    <row r="602" customFormat="false" ht="36" hidden="false" customHeight="true" outlineLevel="0" collapsed="false">
      <c r="A602" s="7" t="s">
        <v>155</v>
      </c>
      <c r="B602" s="15" t="n">
        <v>5</v>
      </c>
      <c r="C602" s="7" t="n">
        <v>20</v>
      </c>
      <c r="D602" s="22" t="s">
        <v>232</v>
      </c>
      <c r="E602" s="4" t="s">
        <v>1283</v>
      </c>
      <c r="F602" s="23"/>
      <c r="G602" s="22" t="s">
        <v>42</v>
      </c>
      <c r="H602" s="3" t="s">
        <v>1284</v>
      </c>
      <c r="I602" s="4" t="s">
        <v>1285</v>
      </c>
      <c r="J602" s="7" t="n">
        <f aca="false">LEN(E602)-SUMPRODUCT(LEN(E602)-LEN(SUBSTITUTE(E602,{"，","。","？","！","、","…","；","：","《","》"," ","“","”","—","（","）","·"},"")))</f>
        <v>27</v>
      </c>
      <c r="K602" s="23"/>
    </row>
    <row r="603" customFormat="false" ht="36" hidden="false" customHeight="true" outlineLevel="0" collapsed="false">
      <c r="A603" s="7" t="s">
        <v>155</v>
      </c>
      <c r="B603" s="15" t="n">
        <v>5</v>
      </c>
      <c r="C603" s="7" t="n">
        <v>21</v>
      </c>
      <c r="D603" s="22" t="s">
        <v>219</v>
      </c>
      <c r="E603" s="4" t="s">
        <v>1286</v>
      </c>
      <c r="F603" s="23" t="s">
        <v>1287</v>
      </c>
      <c r="G603" s="22" t="s">
        <v>30</v>
      </c>
      <c r="H603" s="3"/>
      <c r="I603" s="4" t="s">
        <v>1288</v>
      </c>
      <c r="J603" s="7" t="n">
        <f aca="false">LEN(E603)-SUMPRODUCT(LEN(E603)-LEN(SUBSTITUTE(E603,{"，","。","？","！","、","…","；","：","《","》"," ","“","”","—","（","）","·"},"")))</f>
        <v>31</v>
      </c>
      <c r="K603" s="23"/>
    </row>
    <row r="604" customFormat="false" ht="36" hidden="false" customHeight="true" outlineLevel="0" collapsed="false">
      <c r="A604" s="7" t="s">
        <v>155</v>
      </c>
      <c r="B604" s="15" t="n">
        <v>5</v>
      </c>
      <c r="C604" s="7" t="n">
        <v>22</v>
      </c>
      <c r="D604" s="22" t="s">
        <v>229</v>
      </c>
      <c r="E604" s="4" t="s">
        <v>1289</v>
      </c>
      <c r="F604" s="23"/>
      <c r="G604" s="22" t="s">
        <v>40</v>
      </c>
      <c r="H604" s="3"/>
      <c r="I604" s="4" t="s">
        <v>1249</v>
      </c>
      <c r="J604" s="7" t="n">
        <f aca="false">LEN(E604)-SUMPRODUCT(LEN(E604)-LEN(SUBSTITUTE(E604,{"，","。","？","！","、","…","；","：","《","》"," ","“","”","—","（","）","·"},"")))</f>
        <v>15</v>
      </c>
      <c r="K604" s="23"/>
    </row>
    <row r="605" customFormat="false" ht="36" hidden="false" customHeight="true" outlineLevel="0" collapsed="false">
      <c r="A605" s="7" t="s">
        <v>155</v>
      </c>
      <c r="B605" s="15" t="n">
        <v>5</v>
      </c>
      <c r="C605" s="7" t="n">
        <v>23</v>
      </c>
      <c r="D605" s="22" t="s">
        <v>219</v>
      </c>
      <c r="E605" s="4" t="s">
        <v>1290</v>
      </c>
      <c r="F605" s="23"/>
      <c r="G605" s="22" t="s">
        <v>40</v>
      </c>
      <c r="H605" s="3" t="s">
        <v>1291</v>
      </c>
      <c r="I605" s="3"/>
      <c r="J605" s="7" t="n">
        <f aca="false">LEN(E605)-SUMPRODUCT(LEN(E605)-LEN(SUBSTITUTE(E605,{"，","。","？","！","、","…","；","：","《","》"," ","“","”","—","（","）","·"},"")))</f>
        <v>25</v>
      </c>
      <c r="K605" s="23"/>
    </row>
    <row r="606" customFormat="false" ht="36" hidden="false" customHeight="true" outlineLevel="0" collapsed="false">
      <c r="A606" s="7" t="s">
        <v>155</v>
      </c>
      <c r="B606" s="15" t="n">
        <v>5</v>
      </c>
      <c r="C606" s="7" t="n">
        <v>24</v>
      </c>
      <c r="D606" s="22" t="s">
        <v>219</v>
      </c>
      <c r="E606" s="4" t="s">
        <v>1292</v>
      </c>
      <c r="F606" s="23"/>
      <c r="G606" s="22" t="s">
        <v>30</v>
      </c>
      <c r="H606" s="3" t="s">
        <v>1293</v>
      </c>
      <c r="I606" s="4" t="s">
        <v>1294</v>
      </c>
      <c r="J606" s="7" t="n">
        <f aca="false">LEN(E606)-SUMPRODUCT(LEN(E606)-LEN(SUBSTITUTE(E606,{"，","。","？","！","、","…","；","：","《","》"," ","“","”","—","（","）","·"},"")))</f>
        <v>29</v>
      </c>
      <c r="K606" s="23"/>
    </row>
    <row r="607" customFormat="false" ht="36" hidden="false" customHeight="true" outlineLevel="0" collapsed="false">
      <c r="A607" s="7" t="s">
        <v>155</v>
      </c>
      <c r="B607" s="15" t="n">
        <v>5</v>
      </c>
      <c r="C607" s="7" t="n">
        <v>25</v>
      </c>
      <c r="D607" s="22" t="s">
        <v>222</v>
      </c>
      <c r="E607" s="4" t="s">
        <v>1295</v>
      </c>
      <c r="F607" s="23"/>
      <c r="G607" s="22" t="s">
        <v>30</v>
      </c>
      <c r="H607" s="3" t="s">
        <v>1296</v>
      </c>
      <c r="I607" s="4" t="s">
        <v>561</v>
      </c>
      <c r="J607" s="7" t="n">
        <f aca="false">LEN(E607)-SUMPRODUCT(LEN(E607)-LEN(SUBSTITUTE(E607,{"，","。","？","！","、","…","；","：","《","》"," ","“","”","—","（","）","·"},"")))</f>
        <v>20</v>
      </c>
      <c r="K607" s="23"/>
    </row>
    <row r="608" customFormat="false" ht="36" hidden="false" customHeight="true" outlineLevel="0" collapsed="false">
      <c r="A608" s="7" t="s">
        <v>155</v>
      </c>
      <c r="B608" s="15" t="n">
        <v>5</v>
      </c>
      <c r="C608" s="7" t="n">
        <v>26</v>
      </c>
      <c r="D608" s="22" t="s">
        <v>232</v>
      </c>
      <c r="E608" s="4" t="s">
        <v>1297</v>
      </c>
      <c r="F608" s="23"/>
      <c r="G608" s="22" t="s">
        <v>30</v>
      </c>
      <c r="H608" s="3"/>
      <c r="I608" s="4" t="s">
        <v>1298</v>
      </c>
      <c r="J608" s="7" t="n">
        <f aca="false">LEN(E608)-SUMPRODUCT(LEN(E608)-LEN(SUBSTITUTE(E608,{"，","。","？","！","、","…","；","：","《","》"," ","“","”","—","（","）","·"},"")))</f>
        <v>21</v>
      </c>
      <c r="K608" s="23"/>
    </row>
    <row r="609" customFormat="false" ht="36" hidden="false" customHeight="true" outlineLevel="0" collapsed="false">
      <c r="A609" s="7" t="s">
        <v>155</v>
      </c>
      <c r="B609" s="15" t="n">
        <v>5</v>
      </c>
      <c r="C609" s="7" t="n">
        <v>27</v>
      </c>
      <c r="D609" s="22" t="s">
        <v>219</v>
      </c>
      <c r="E609" s="4" t="s">
        <v>1299</v>
      </c>
      <c r="F609" s="23" t="s">
        <v>1300</v>
      </c>
      <c r="G609" s="22" t="s">
        <v>38</v>
      </c>
      <c r="H609" s="3"/>
      <c r="I609" s="4" t="s">
        <v>1298</v>
      </c>
      <c r="J609" s="7" t="n">
        <f aca="false">LEN(E609)-SUMPRODUCT(LEN(E609)-LEN(SUBSTITUTE(E609,{"，","。","？","！","、","…","；","：","《","》"," ","“","”","—","（","）","·"},"")))</f>
        <v>44</v>
      </c>
      <c r="K609" s="23"/>
    </row>
    <row r="610" customFormat="false" ht="36" hidden="false" customHeight="true" outlineLevel="0" collapsed="false">
      <c r="A610" s="7" t="s">
        <v>155</v>
      </c>
      <c r="B610" s="15" t="n">
        <v>5</v>
      </c>
      <c r="C610" s="7" t="n">
        <v>28</v>
      </c>
      <c r="D610" s="22" t="s">
        <v>232</v>
      </c>
      <c r="E610" s="4" t="s">
        <v>1301</v>
      </c>
      <c r="F610" s="23"/>
      <c r="G610" s="22" t="s">
        <v>36</v>
      </c>
      <c r="H610" s="3"/>
      <c r="I610" s="4" t="s">
        <v>1249</v>
      </c>
      <c r="J610" s="7" t="n">
        <f aca="false">LEN(E610)-SUMPRODUCT(LEN(E610)-LEN(SUBSTITUTE(E610,{"，","。","？","！","、","…","；","：","《","》"," ","“","”","—","（","）","·"},"")))</f>
        <v>22</v>
      </c>
      <c r="K610" s="23"/>
    </row>
    <row r="611" customFormat="false" ht="36" hidden="false" customHeight="true" outlineLevel="0" collapsed="false">
      <c r="A611" s="7" t="s">
        <v>155</v>
      </c>
      <c r="B611" s="15" t="n">
        <v>5</v>
      </c>
      <c r="C611" s="7" t="n">
        <v>29</v>
      </c>
      <c r="D611" s="22" t="s">
        <v>219</v>
      </c>
      <c r="E611" s="4" t="s">
        <v>1302</v>
      </c>
      <c r="F611" s="23"/>
      <c r="G611" s="22" t="s">
        <v>36</v>
      </c>
      <c r="H611" s="3"/>
      <c r="I611" s="3"/>
      <c r="J611" s="7" t="n">
        <f aca="false">LEN(E611)-SUMPRODUCT(LEN(E611)-LEN(SUBSTITUTE(E611,{"，","。","？","！","、","…","；","：","《","》"," ","“","”","—","（","）","·"},"")))</f>
        <v>26</v>
      </c>
      <c r="K611" s="23"/>
    </row>
    <row r="612" customFormat="false" ht="36" hidden="false" customHeight="true" outlineLevel="0" collapsed="false">
      <c r="A612" s="7" t="s">
        <v>155</v>
      </c>
      <c r="B612" s="15" t="n">
        <v>5</v>
      </c>
      <c r="C612" s="7" t="n">
        <v>30</v>
      </c>
      <c r="D612" s="22" t="s">
        <v>222</v>
      </c>
      <c r="E612" s="4" t="s">
        <v>1303</v>
      </c>
      <c r="F612" s="23"/>
      <c r="G612" s="22" t="s">
        <v>32</v>
      </c>
      <c r="H612" s="3" t="s">
        <v>1304</v>
      </c>
      <c r="I612" s="4" t="s">
        <v>1305</v>
      </c>
      <c r="J612" s="7" t="n">
        <f aca="false">LEN(E612)-SUMPRODUCT(LEN(E612)-LEN(SUBSTITUTE(E612,{"，","。","？","！","、","…","；","：","《","》"," ","“","”","—","（","）","·"},"")))</f>
        <v>31</v>
      </c>
      <c r="K612" s="23"/>
    </row>
    <row r="613" customFormat="false" ht="36" hidden="false" customHeight="true" outlineLevel="0" collapsed="false">
      <c r="A613" s="7" t="s">
        <v>155</v>
      </c>
      <c r="B613" s="15" t="n">
        <v>5</v>
      </c>
      <c r="C613" s="7" t="n">
        <v>31</v>
      </c>
      <c r="D613" s="22" t="s">
        <v>219</v>
      </c>
      <c r="E613" s="4" t="s">
        <v>1306</v>
      </c>
      <c r="F613" s="23"/>
      <c r="G613" s="22" t="s">
        <v>32</v>
      </c>
      <c r="H613" s="3" t="s">
        <v>1307</v>
      </c>
      <c r="I613" s="4" t="s">
        <v>295</v>
      </c>
      <c r="J613" s="7" t="n">
        <f aca="false">LEN(E613)-SUMPRODUCT(LEN(E613)-LEN(SUBSTITUTE(E613,{"，","。","？","！","、","…","；","：","《","》"," ","“","”","—","（","）","·"},"")))</f>
        <v>28</v>
      </c>
      <c r="K613" s="23"/>
    </row>
    <row r="614" customFormat="false" ht="36" hidden="false" customHeight="true" outlineLevel="0" collapsed="false">
      <c r="A614" s="7" t="s">
        <v>155</v>
      </c>
      <c r="B614" s="15" t="n">
        <v>5</v>
      </c>
      <c r="C614" s="7" t="n">
        <v>32</v>
      </c>
      <c r="D614" s="22" t="s">
        <v>222</v>
      </c>
      <c r="E614" s="4" t="s">
        <v>1308</v>
      </c>
      <c r="F614" s="23"/>
      <c r="G614" s="22" t="s">
        <v>32</v>
      </c>
      <c r="H614" s="3" t="s">
        <v>1309</v>
      </c>
      <c r="I614" s="4" t="s">
        <v>1310</v>
      </c>
      <c r="J614" s="7" t="n">
        <f aca="false">LEN(E614)-SUMPRODUCT(LEN(E614)-LEN(SUBSTITUTE(E614,{"，","。","？","！","、","…","；","：","《","》"," ","“","”","—","（","）","·"},"")))</f>
        <v>25</v>
      </c>
      <c r="K614" s="23"/>
    </row>
    <row r="615" customFormat="false" ht="36" hidden="false" customHeight="true" outlineLevel="0" collapsed="false">
      <c r="A615" s="7" t="s">
        <v>155</v>
      </c>
      <c r="B615" s="15" t="n">
        <v>5</v>
      </c>
      <c r="C615" s="7" t="n">
        <v>33</v>
      </c>
      <c r="D615" s="22" t="s">
        <v>232</v>
      </c>
      <c r="E615" s="4" t="s">
        <v>1311</v>
      </c>
      <c r="F615" s="23"/>
      <c r="G615" s="22" t="s">
        <v>32</v>
      </c>
      <c r="H615" s="3"/>
      <c r="I615" s="4" t="s">
        <v>1312</v>
      </c>
      <c r="J615" s="7" t="n">
        <f aca="false">LEN(E615)-SUMPRODUCT(LEN(E615)-LEN(SUBSTITUTE(E615,{"，","。","？","！","、","…","；","：","《","》"," ","“","”","—","（","）","·"},"")))</f>
        <v>29</v>
      </c>
      <c r="K615" s="23"/>
    </row>
    <row r="616" customFormat="false" ht="36" hidden="false" customHeight="true" outlineLevel="0" collapsed="false">
      <c r="A616" s="7" t="s">
        <v>155</v>
      </c>
      <c r="B616" s="15" t="n">
        <v>5</v>
      </c>
      <c r="C616" s="7" t="n">
        <v>34</v>
      </c>
      <c r="D616" s="22" t="s">
        <v>219</v>
      </c>
      <c r="E616" s="4" t="s">
        <v>1313</v>
      </c>
      <c r="F616" s="23" t="s">
        <v>282</v>
      </c>
      <c r="G616" s="22" t="s">
        <v>30</v>
      </c>
      <c r="H616" s="3"/>
      <c r="I616" s="4" t="s">
        <v>1314</v>
      </c>
      <c r="J616" s="7" t="n">
        <f aca="false">LEN(E616)-SUMPRODUCT(LEN(E616)-LEN(SUBSTITUTE(E616,{"，","。","？","！","、","…","；","：","《","》"," ","“","”","—","（","）","·"},"")))</f>
        <v>27</v>
      </c>
      <c r="K616" s="23"/>
    </row>
    <row r="617" customFormat="false" ht="36" hidden="false" customHeight="true" outlineLevel="0" collapsed="false">
      <c r="A617" s="7" t="s">
        <v>155</v>
      </c>
      <c r="B617" s="15" t="n">
        <v>5</v>
      </c>
      <c r="C617" s="7" t="n">
        <v>35</v>
      </c>
      <c r="D617" s="22" t="s">
        <v>232</v>
      </c>
      <c r="E617" s="4" t="s">
        <v>1315</v>
      </c>
      <c r="F617" s="23"/>
      <c r="G617" s="22" t="s">
        <v>30</v>
      </c>
      <c r="H617" s="3"/>
      <c r="I617" s="4" t="s">
        <v>1316</v>
      </c>
      <c r="J617" s="7" t="n">
        <f aca="false">LEN(E617)-SUMPRODUCT(LEN(E617)-LEN(SUBSTITUTE(E617,{"，","。","？","！","、","…","；","：","《","》"," ","“","”","—","（","）","·"},"")))</f>
        <v>20</v>
      </c>
      <c r="K617" s="23"/>
    </row>
    <row r="618" customFormat="false" ht="36" hidden="false" customHeight="true" outlineLevel="0" collapsed="false">
      <c r="A618" s="7" t="s">
        <v>155</v>
      </c>
      <c r="B618" s="15" t="n">
        <v>5</v>
      </c>
      <c r="C618" s="7" t="n">
        <v>36</v>
      </c>
      <c r="D618" s="22" t="s">
        <v>219</v>
      </c>
      <c r="E618" s="4" t="s">
        <v>1317</v>
      </c>
      <c r="F618" s="23"/>
      <c r="G618" s="22" t="s">
        <v>30</v>
      </c>
      <c r="H618" s="3" t="s">
        <v>1246</v>
      </c>
      <c r="I618" s="4" t="s">
        <v>1318</v>
      </c>
      <c r="J618" s="7" t="n">
        <f aca="false">LEN(E618)-SUMPRODUCT(LEN(E618)-LEN(SUBSTITUTE(E618,{"，","。","？","！","、","…","；","：","《","》"," ","“","”","—","（","）","·"},"")))</f>
        <v>29</v>
      </c>
      <c r="K618" s="23"/>
    </row>
    <row r="619" customFormat="false" ht="36" hidden="false" customHeight="true" outlineLevel="0" collapsed="false">
      <c r="A619" s="7" t="s">
        <v>155</v>
      </c>
      <c r="B619" s="15" t="n">
        <v>5</v>
      </c>
      <c r="C619" s="7" t="n">
        <v>37</v>
      </c>
      <c r="D619" s="22" t="s">
        <v>232</v>
      </c>
      <c r="E619" s="4" t="s">
        <v>1319</v>
      </c>
      <c r="F619" s="23"/>
      <c r="G619" s="22" t="s">
        <v>30</v>
      </c>
      <c r="H619" s="3" t="s">
        <v>1320</v>
      </c>
      <c r="I619" s="4" t="s">
        <v>1241</v>
      </c>
      <c r="J619" s="7" t="n">
        <f aca="false">LEN(E619)-SUMPRODUCT(LEN(E619)-LEN(SUBSTITUTE(E619,{"，","。","？","！","、","…","；","：","《","》"," ","“","”","—","（","）","·"},"")))</f>
        <v>27</v>
      </c>
      <c r="K619" s="23"/>
    </row>
    <row r="620" customFormat="false" ht="21" hidden="false" customHeight="true" outlineLevel="0" collapsed="false">
      <c r="A620" s="7" t="s">
        <v>155</v>
      </c>
      <c r="B620" s="15" t="n">
        <v>5</v>
      </c>
      <c r="C620" s="7" t="n">
        <v>38</v>
      </c>
      <c r="D620" s="22" t="s">
        <v>219</v>
      </c>
      <c r="E620" s="4" t="s">
        <v>1321</v>
      </c>
      <c r="F620" s="23"/>
      <c r="G620" s="22" t="s">
        <v>42</v>
      </c>
      <c r="H620" s="3"/>
      <c r="I620" s="3"/>
      <c r="J620" s="7" t="n">
        <f aca="false">LEN(E620)-SUMPRODUCT(LEN(E620)-LEN(SUBSTITUTE(E620,{"，","。","？","！","、","…","；","：","《","》"," ","“","”","—","（","）","·"},"")))</f>
        <v>12</v>
      </c>
      <c r="K620" s="23"/>
    </row>
    <row r="621" customFormat="false" ht="36" hidden="false" customHeight="true" outlineLevel="0" collapsed="false">
      <c r="A621" s="7" t="s">
        <v>155</v>
      </c>
      <c r="B621" s="15" t="n">
        <v>5</v>
      </c>
      <c r="C621" s="7" t="n">
        <v>39</v>
      </c>
      <c r="D621" s="22" t="s">
        <v>229</v>
      </c>
      <c r="E621" s="4" t="s">
        <v>1322</v>
      </c>
      <c r="F621" s="23"/>
      <c r="G621" s="22" t="s">
        <v>40</v>
      </c>
      <c r="H621" s="3"/>
      <c r="I621" s="3"/>
      <c r="J621" s="7" t="n">
        <f aca="false">LEN(E621)-SUMPRODUCT(LEN(E621)-LEN(SUBSTITUTE(E621,{"，","。","？","！","、","…","；","：","《","》"," ","“","”","—","（","）","·"},"")))</f>
        <v>18</v>
      </c>
      <c r="K621" s="23"/>
    </row>
    <row r="622" customFormat="false" ht="36" hidden="false" customHeight="true" outlineLevel="0" collapsed="false">
      <c r="A622" s="7" t="s">
        <v>155</v>
      </c>
      <c r="B622" s="15" t="n">
        <v>5</v>
      </c>
      <c r="C622" s="7" t="n">
        <v>40</v>
      </c>
      <c r="D622" s="22" t="s">
        <v>219</v>
      </c>
      <c r="E622" s="4" t="s">
        <v>1323</v>
      </c>
      <c r="F622" s="23" t="s">
        <v>226</v>
      </c>
      <c r="G622" s="22" t="s">
        <v>40</v>
      </c>
      <c r="H622" s="3" t="s">
        <v>1324</v>
      </c>
      <c r="I622" s="4" t="s">
        <v>1325</v>
      </c>
      <c r="J622" s="7" t="n">
        <f aca="false">LEN(E622)-SUMPRODUCT(LEN(E622)-LEN(SUBSTITUTE(E622,{"，","。","？","！","、","…","；","：","《","》"," ","“","”","—","（","）","·"},"")))</f>
        <v>29</v>
      </c>
      <c r="K622" s="23"/>
    </row>
    <row r="623" customFormat="false" ht="36" hidden="false" customHeight="true" outlineLevel="0" collapsed="false">
      <c r="A623" s="7" t="s">
        <v>160</v>
      </c>
      <c r="B623" s="15" t="n">
        <v>5</v>
      </c>
      <c r="C623" s="7" t="n">
        <v>1</v>
      </c>
      <c r="D623" s="22" t="s">
        <v>219</v>
      </c>
      <c r="E623" s="4" t="s">
        <v>1326</v>
      </c>
      <c r="F623" s="23" t="s">
        <v>1327</v>
      </c>
      <c r="G623" s="22" t="s">
        <v>40</v>
      </c>
      <c r="H623" s="3"/>
      <c r="I623" s="4" t="s">
        <v>1325</v>
      </c>
      <c r="J623" s="7" t="n">
        <f aca="false">LEN(E623)-SUMPRODUCT(LEN(E623)-LEN(SUBSTITUTE(E623,{"，","。","？","！","、","…","；","：","《","》"," ","“","”","—","（","）","·"},"")))</f>
        <v>27</v>
      </c>
      <c r="K623" s="23"/>
    </row>
    <row r="624" customFormat="false" ht="36" hidden="false" customHeight="true" outlineLevel="0" collapsed="false">
      <c r="A624" s="7" t="s">
        <v>160</v>
      </c>
      <c r="B624" s="15" t="n">
        <v>5</v>
      </c>
      <c r="C624" s="7" t="n">
        <v>2</v>
      </c>
      <c r="D624" s="22" t="s">
        <v>232</v>
      </c>
      <c r="E624" s="4" t="s">
        <v>1328</v>
      </c>
      <c r="F624" s="23"/>
      <c r="G624" s="22" t="s">
        <v>42</v>
      </c>
      <c r="H624" s="3"/>
      <c r="I624" s="4" t="s">
        <v>1329</v>
      </c>
      <c r="J624" s="7" t="n">
        <f aca="false">LEN(E624)-SUMPRODUCT(LEN(E624)-LEN(SUBSTITUTE(E624,{"，","。","？","！","、","…","；","：","《","》"," ","“","”","—","（","）","·"},"")))</f>
        <v>22</v>
      </c>
      <c r="K624" s="23"/>
    </row>
    <row r="625" customFormat="false" ht="51" hidden="false" customHeight="true" outlineLevel="0" collapsed="false">
      <c r="A625" s="7" t="s">
        <v>160</v>
      </c>
      <c r="B625" s="15" t="n">
        <v>5</v>
      </c>
      <c r="C625" s="7" t="n">
        <v>3</v>
      </c>
      <c r="D625" s="22" t="s">
        <v>219</v>
      </c>
      <c r="E625" s="4" t="s">
        <v>1330</v>
      </c>
      <c r="F625" s="23"/>
      <c r="G625" s="22" t="s">
        <v>40</v>
      </c>
      <c r="H625" s="3"/>
      <c r="I625" s="4" t="s">
        <v>1331</v>
      </c>
      <c r="J625" s="7" t="n">
        <f aca="false">LEN(E625)-SUMPRODUCT(LEN(E625)-LEN(SUBSTITUTE(E625,{"，","。","？","！","、","…","；","：","《","》"," ","“","”","—","（","）","·"},"")))</f>
        <v>45</v>
      </c>
      <c r="K625" s="23"/>
    </row>
    <row r="626" customFormat="false" ht="21" hidden="false" customHeight="true" outlineLevel="0" collapsed="false">
      <c r="A626" s="7" t="s">
        <v>160</v>
      </c>
      <c r="B626" s="15" t="n">
        <v>5</v>
      </c>
      <c r="C626" s="7" t="n">
        <v>4</v>
      </c>
      <c r="D626" s="22" t="s">
        <v>481</v>
      </c>
      <c r="E626" s="4" t="s">
        <v>1332</v>
      </c>
      <c r="F626" s="23"/>
      <c r="G626" s="22" t="s">
        <v>42</v>
      </c>
      <c r="H626" s="3"/>
      <c r="I626" s="4" t="s">
        <v>1333</v>
      </c>
      <c r="J626" s="7" t="n">
        <f aca="false">LEN(E626)-SUMPRODUCT(LEN(E626)-LEN(SUBSTITUTE(E626,{"，","。","？","！","、","…","；","：","《","》"," ","“","”","—","（","）","·"},"")))</f>
        <v>17</v>
      </c>
      <c r="K626" s="23"/>
    </row>
    <row r="627" customFormat="false" ht="36" hidden="false" customHeight="true" outlineLevel="0" collapsed="false">
      <c r="A627" s="7" t="s">
        <v>160</v>
      </c>
      <c r="B627" s="15" t="n">
        <v>5</v>
      </c>
      <c r="C627" s="7" t="n">
        <v>5</v>
      </c>
      <c r="D627" s="22" t="s">
        <v>219</v>
      </c>
      <c r="E627" s="4" t="s">
        <v>1334</v>
      </c>
      <c r="F627" s="23"/>
      <c r="G627" s="22" t="s">
        <v>42</v>
      </c>
      <c r="H627" s="3" t="s">
        <v>1284</v>
      </c>
      <c r="I627" s="4" t="s">
        <v>1335</v>
      </c>
      <c r="J627" s="7" t="n">
        <f aca="false">LEN(E627)-SUMPRODUCT(LEN(E627)-LEN(SUBSTITUTE(E627,{"，","。","？","！","、","…","；","：","《","》"," ","“","”","—","（","）","·"},"")))</f>
        <v>27</v>
      </c>
      <c r="K627" s="23"/>
    </row>
    <row r="628" customFormat="false" ht="36" hidden="false" customHeight="true" outlineLevel="0" collapsed="false">
      <c r="A628" s="7" t="s">
        <v>160</v>
      </c>
      <c r="B628" s="15" t="n">
        <v>5</v>
      </c>
      <c r="C628" s="7" t="n">
        <v>6</v>
      </c>
      <c r="D628" s="22" t="s">
        <v>219</v>
      </c>
      <c r="E628" s="4" t="s">
        <v>1336</v>
      </c>
      <c r="F628" s="23"/>
      <c r="G628" s="22" t="s">
        <v>40</v>
      </c>
      <c r="H628" s="3"/>
      <c r="I628" s="3"/>
      <c r="J628" s="7" t="n">
        <f aca="false">LEN(E628)-SUMPRODUCT(LEN(E628)-LEN(SUBSTITUTE(E628,{"，","。","？","！","、","…","；","：","《","》"," ","“","”","—","（","）","·"},"")))</f>
        <v>24</v>
      </c>
      <c r="K628" s="23"/>
    </row>
    <row r="629" customFormat="false" ht="36" hidden="false" customHeight="true" outlineLevel="0" collapsed="false">
      <c r="A629" s="7" t="s">
        <v>160</v>
      </c>
      <c r="B629" s="15" t="n">
        <v>5</v>
      </c>
      <c r="C629" s="7" t="n">
        <v>7</v>
      </c>
      <c r="D629" s="22" t="s">
        <v>219</v>
      </c>
      <c r="E629" s="4" t="s">
        <v>1337</v>
      </c>
      <c r="F629" s="23"/>
      <c r="G629" s="22" t="s">
        <v>32</v>
      </c>
      <c r="H629" s="3" t="s">
        <v>935</v>
      </c>
      <c r="I629" s="3"/>
      <c r="J629" s="7" t="n">
        <f aca="false">LEN(E629)-SUMPRODUCT(LEN(E629)-LEN(SUBSTITUTE(E629,{"，","。","？","！","、","…","；","：","《","》"," ","“","”","—","（","）","·"},"")))</f>
        <v>29</v>
      </c>
      <c r="K629" s="23"/>
    </row>
    <row r="630" customFormat="false" ht="36" hidden="false" customHeight="true" outlineLevel="0" collapsed="false">
      <c r="A630" s="7" t="s">
        <v>160</v>
      </c>
      <c r="B630" s="15" t="n">
        <v>5</v>
      </c>
      <c r="C630" s="7" t="n">
        <v>8</v>
      </c>
      <c r="D630" s="22" t="s">
        <v>481</v>
      </c>
      <c r="E630" s="4" t="s">
        <v>1338</v>
      </c>
      <c r="F630" s="23"/>
      <c r="G630" s="22" t="s">
        <v>32</v>
      </c>
      <c r="H630" s="3" t="s">
        <v>1339</v>
      </c>
      <c r="I630" s="3"/>
      <c r="J630" s="7" t="n">
        <f aca="false">LEN(E630)-SUMPRODUCT(LEN(E630)-LEN(SUBSTITUTE(E630,{"，","。","？","！","、","…","；","：","《","》"," ","“","”","—","（","）","·"},"")))</f>
        <v>22</v>
      </c>
      <c r="K630" s="23"/>
    </row>
    <row r="631" customFormat="false" ht="21" hidden="false" customHeight="true" outlineLevel="0" collapsed="false">
      <c r="A631" s="7" t="s">
        <v>160</v>
      </c>
      <c r="B631" s="15" t="n">
        <v>5</v>
      </c>
      <c r="C631" s="7" t="n">
        <v>9</v>
      </c>
      <c r="D631" s="22" t="s">
        <v>232</v>
      </c>
      <c r="E631" s="4" t="s">
        <v>1340</v>
      </c>
      <c r="F631" s="23"/>
      <c r="G631" s="22" t="s">
        <v>32</v>
      </c>
      <c r="H631" s="3"/>
      <c r="I631" s="4" t="s">
        <v>1249</v>
      </c>
      <c r="J631" s="7" t="n">
        <f aca="false">LEN(E631)-SUMPRODUCT(LEN(E631)-LEN(SUBSTITUTE(E631,{"，","。","？","！","、","…","；","：","《","》"," ","“","”","—","（","）","·"},"")))</f>
        <v>21</v>
      </c>
      <c r="K631" s="23"/>
    </row>
    <row r="632" customFormat="false" ht="36" hidden="false" customHeight="true" outlineLevel="0" collapsed="false">
      <c r="A632" s="7" t="s">
        <v>160</v>
      </c>
      <c r="B632" s="15" t="n">
        <v>5</v>
      </c>
      <c r="C632" s="7" t="n">
        <v>10</v>
      </c>
      <c r="D632" s="22" t="s">
        <v>219</v>
      </c>
      <c r="E632" s="4" t="s">
        <v>1341</v>
      </c>
      <c r="F632" s="23"/>
      <c r="G632" s="22" t="s">
        <v>32</v>
      </c>
      <c r="H632" s="3" t="s">
        <v>935</v>
      </c>
      <c r="I632" s="4" t="s">
        <v>1342</v>
      </c>
      <c r="J632" s="7" t="n">
        <f aca="false">LEN(E632)-SUMPRODUCT(LEN(E632)-LEN(SUBSTITUTE(E632,{"，","。","？","！","、","…","；","：","《","》"," ","“","”","—","（","）","·"},"")))</f>
        <v>41</v>
      </c>
      <c r="K632" s="23"/>
    </row>
    <row r="633" customFormat="false" ht="36" hidden="false" customHeight="true" outlineLevel="0" collapsed="false">
      <c r="A633" s="7" t="s">
        <v>160</v>
      </c>
      <c r="B633" s="15" t="n">
        <v>5</v>
      </c>
      <c r="C633" s="7" t="n">
        <v>11</v>
      </c>
      <c r="D633" s="22" t="s">
        <v>219</v>
      </c>
      <c r="E633" s="4" t="s">
        <v>1343</v>
      </c>
      <c r="F633" s="23"/>
      <c r="G633" s="22" t="s">
        <v>30</v>
      </c>
      <c r="H633" s="3" t="s">
        <v>1170</v>
      </c>
      <c r="I633" s="4" t="s">
        <v>1344</v>
      </c>
      <c r="J633" s="7" t="n">
        <f aca="false">LEN(E633)-SUMPRODUCT(LEN(E633)-LEN(SUBSTITUTE(E633,{"，","。","？","！","、","…","；","：","《","》"," ","“","”","—","（","）","·"},"")))</f>
        <v>26</v>
      </c>
      <c r="K633" s="23"/>
    </row>
    <row r="634" customFormat="false" ht="36" hidden="false" customHeight="true" outlineLevel="0" collapsed="false">
      <c r="A634" s="7" t="s">
        <v>160</v>
      </c>
      <c r="B634" s="15" t="n">
        <v>5</v>
      </c>
      <c r="C634" s="7" t="n">
        <v>12</v>
      </c>
      <c r="D634" s="22" t="s">
        <v>481</v>
      </c>
      <c r="E634" s="4" t="s">
        <v>1345</v>
      </c>
      <c r="F634" s="23"/>
      <c r="G634" s="22" t="s">
        <v>30</v>
      </c>
      <c r="H634" s="3"/>
      <c r="I634" s="4" t="s">
        <v>1346</v>
      </c>
      <c r="J634" s="7" t="n">
        <f aca="false">LEN(E634)-SUMPRODUCT(LEN(E634)-LEN(SUBSTITUTE(E634,{"，","。","？","！","、","…","；","：","《","》"," ","“","”","—","（","）","·"},"")))</f>
        <v>14</v>
      </c>
      <c r="K634" s="23"/>
    </row>
    <row r="635" customFormat="false" ht="36" hidden="false" customHeight="true" outlineLevel="0" collapsed="false">
      <c r="A635" s="7" t="s">
        <v>160</v>
      </c>
      <c r="B635" s="15" t="n">
        <v>5</v>
      </c>
      <c r="C635" s="7" t="n">
        <v>13</v>
      </c>
      <c r="D635" s="22" t="s">
        <v>222</v>
      </c>
      <c r="E635" s="4" t="s">
        <v>1347</v>
      </c>
      <c r="F635" s="23" t="s">
        <v>1348</v>
      </c>
      <c r="G635" s="22" t="s">
        <v>32</v>
      </c>
      <c r="H635" s="3"/>
      <c r="I635" s="4" t="s">
        <v>1349</v>
      </c>
      <c r="J635" s="7" t="n">
        <f aca="false">LEN(E635)-SUMPRODUCT(LEN(E635)-LEN(SUBSTITUTE(E635,{"，","。","？","！","、","…","；","：","《","》"," ","“","”","—","（","）","·"},"")))</f>
        <v>27</v>
      </c>
      <c r="K635" s="23"/>
    </row>
    <row r="636" customFormat="false" ht="36" hidden="false" customHeight="true" outlineLevel="0" collapsed="false">
      <c r="A636" s="7" t="s">
        <v>160</v>
      </c>
      <c r="B636" s="15" t="n">
        <v>5</v>
      </c>
      <c r="C636" s="7" t="n">
        <v>14</v>
      </c>
      <c r="D636" s="22" t="s">
        <v>222</v>
      </c>
      <c r="E636" s="4" t="s">
        <v>1350</v>
      </c>
      <c r="F636" s="23" t="s">
        <v>1351</v>
      </c>
      <c r="G636" s="22" t="s">
        <v>32</v>
      </c>
      <c r="H636" s="3"/>
      <c r="I636" s="3"/>
      <c r="J636" s="7" t="n">
        <f aca="false">LEN(E636)-SUMPRODUCT(LEN(E636)-LEN(SUBSTITUTE(E636,{"，","。","？","！","、","…","；","：","《","》"," ","“","”","—","（","）","·"},"")))</f>
        <v>25</v>
      </c>
      <c r="K636" s="23"/>
    </row>
    <row r="637" customFormat="false" ht="36" hidden="false" customHeight="true" outlineLevel="0" collapsed="false">
      <c r="A637" s="7" t="s">
        <v>160</v>
      </c>
      <c r="B637" s="15" t="n">
        <v>5</v>
      </c>
      <c r="C637" s="7" t="n">
        <v>15</v>
      </c>
      <c r="D637" s="22" t="s">
        <v>232</v>
      </c>
      <c r="E637" s="4" t="s">
        <v>1352</v>
      </c>
      <c r="F637" s="23"/>
      <c r="G637" s="22" t="s">
        <v>32</v>
      </c>
      <c r="H637" s="3" t="s">
        <v>593</v>
      </c>
      <c r="I637" s="3"/>
      <c r="J637" s="7" t="n">
        <f aca="false">LEN(E637)-SUMPRODUCT(LEN(E637)-LEN(SUBSTITUTE(E637,{"，","。","？","！","、","…","；","：","《","》"," ","“","”","—","（","）","·"},"")))</f>
        <v>30</v>
      </c>
      <c r="K637" s="23"/>
    </row>
    <row r="638" customFormat="false" ht="36" hidden="false" customHeight="true" outlineLevel="0" collapsed="false">
      <c r="A638" s="7" t="s">
        <v>160</v>
      </c>
      <c r="B638" s="15" t="n">
        <v>5</v>
      </c>
      <c r="C638" s="7" t="n">
        <v>16</v>
      </c>
      <c r="D638" s="22" t="s">
        <v>219</v>
      </c>
      <c r="E638" s="4" t="s">
        <v>1353</v>
      </c>
      <c r="F638" s="23"/>
      <c r="G638" s="22" t="s">
        <v>32</v>
      </c>
      <c r="H638" s="3"/>
      <c r="I638" s="4" t="s">
        <v>1354</v>
      </c>
      <c r="J638" s="7" t="n">
        <f aca="false">LEN(E638)-SUMPRODUCT(LEN(E638)-LEN(SUBSTITUTE(E638,{"，","。","？","！","、","…","；","：","《","》"," ","“","”","—","（","）","·"},"")))</f>
        <v>42</v>
      </c>
      <c r="K638" s="23"/>
    </row>
    <row r="639" customFormat="false" ht="21" hidden="false" customHeight="true" outlineLevel="0" collapsed="false">
      <c r="A639" s="7" t="s">
        <v>160</v>
      </c>
      <c r="B639" s="15" t="n">
        <v>5</v>
      </c>
      <c r="C639" s="7" t="n">
        <v>17</v>
      </c>
      <c r="D639" s="22" t="s">
        <v>481</v>
      </c>
      <c r="E639" s="4" t="s">
        <v>1355</v>
      </c>
      <c r="F639" s="23"/>
      <c r="G639" s="22" t="s">
        <v>32</v>
      </c>
      <c r="H639" s="3"/>
      <c r="I639" s="3"/>
      <c r="J639" s="7" t="n">
        <f aca="false">LEN(E639)-SUMPRODUCT(LEN(E639)-LEN(SUBSTITUTE(E639,{"，","。","？","！","、","…","；","：","《","》"," ","“","”","—","（","）","·"},"")))</f>
        <v>18</v>
      </c>
      <c r="K639" s="23"/>
    </row>
    <row r="640" customFormat="false" ht="36" hidden="false" customHeight="true" outlineLevel="0" collapsed="false">
      <c r="A640" s="7" t="s">
        <v>160</v>
      </c>
      <c r="B640" s="15" t="n">
        <v>5</v>
      </c>
      <c r="C640" s="7" t="n">
        <v>18</v>
      </c>
      <c r="D640" s="22" t="s">
        <v>219</v>
      </c>
      <c r="E640" s="4" t="s">
        <v>1356</v>
      </c>
      <c r="F640" s="23"/>
      <c r="G640" s="22" t="s">
        <v>32</v>
      </c>
      <c r="H640" s="3"/>
      <c r="I640" s="3"/>
      <c r="J640" s="7" t="n">
        <f aca="false">LEN(E640)-SUMPRODUCT(LEN(E640)-LEN(SUBSTITUTE(E640,{"，","。","？","！","、","…","；","：","《","》"," ","“","”","—","（","）","·"},"")))</f>
        <v>29</v>
      </c>
      <c r="K640" s="23"/>
    </row>
    <row r="641" customFormat="false" ht="21" hidden="false" customHeight="true" outlineLevel="0" collapsed="false">
      <c r="A641" s="7" t="s">
        <v>160</v>
      </c>
      <c r="B641" s="15" t="n">
        <v>5</v>
      </c>
      <c r="C641" s="7" t="n">
        <v>19</v>
      </c>
      <c r="D641" s="22" t="s">
        <v>232</v>
      </c>
      <c r="E641" s="4" t="s">
        <v>1357</v>
      </c>
      <c r="F641" s="23"/>
      <c r="G641" s="22" t="s">
        <v>32</v>
      </c>
      <c r="H641" s="3"/>
      <c r="I641" s="3"/>
      <c r="J641" s="7" t="n">
        <f aca="false">LEN(E641)-SUMPRODUCT(LEN(E641)-LEN(SUBSTITUTE(E641,{"，","。","？","！","、","…","；","：","《","》"," ","“","”","—","（","）","·"},"")))</f>
        <v>10</v>
      </c>
      <c r="K641" s="23"/>
    </row>
    <row r="642" customFormat="false" ht="21" hidden="false" customHeight="true" outlineLevel="0" collapsed="false">
      <c r="A642" s="7" t="s">
        <v>160</v>
      </c>
      <c r="B642" s="15" t="n">
        <v>5</v>
      </c>
      <c r="C642" s="7" t="n">
        <v>20</v>
      </c>
      <c r="D642" s="22" t="s">
        <v>481</v>
      </c>
      <c r="E642" s="4" t="s">
        <v>1358</v>
      </c>
      <c r="F642" s="23" t="s">
        <v>1359</v>
      </c>
      <c r="G642" s="22" t="s">
        <v>32</v>
      </c>
      <c r="H642" s="3" t="s">
        <v>935</v>
      </c>
      <c r="I642" s="3"/>
      <c r="J642" s="7" t="n">
        <f aca="false">LEN(E642)-SUMPRODUCT(LEN(E642)-LEN(SUBSTITUTE(E642,{"，","。","？","！","、","…","；","：","《","》"," ","“","”","—","（","）","·"},"")))</f>
        <v>19</v>
      </c>
      <c r="K642" s="23"/>
    </row>
    <row r="643" customFormat="false" ht="36" hidden="false" customHeight="true" outlineLevel="0" collapsed="false">
      <c r="A643" s="7" t="s">
        <v>160</v>
      </c>
      <c r="B643" s="15" t="n">
        <v>5</v>
      </c>
      <c r="C643" s="7" t="n">
        <v>21</v>
      </c>
      <c r="D643" s="22" t="s">
        <v>232</v>
      </c>
      <c r="E643" s="4" t="s">
        <v>1360</v>
      </c>
      <c r="F643" s="23"/>
      <c r="G643" s="22" t="s">
        <v>32</v>
      </c>
      <c r="H643" s="3"/>
      <c r="I643" s="4" t="s">
        <v>1361</v>
      </c>
      <c r="J643" s="7" t="n">
        <f aca="false">LEN(E643)-SUMPRODUCT(LEN(E643)-LEN(SUBSTITUTE(E643,{"，","。","？","！","、","…","；","：","《","》"," ","“","”","—","（","）","·"},"")))</f>
        <v>37</v>
      </c>
      <c r="K643" s="23"/>
    </row>
    <row r="644" customFormat="false" ht="36" hidden="false" customHeight="true" outlineLevel="0" collapsed="false">
      <c r="A644" s="7" t="s">
        <v>160</v>
      </c>
      <c r="B644" s="15" t="n">
        <v>5</v>
      </c>
      <c r="C644" s="7" t="n">
        <v>22</v>
      </c>
      <c r="D644" s="22" t="s">
        <v>219</v>
      </c>
      <c r="E644" s="4" t="s">
        <v>1362</v>
      </c>
      <c r="F644" s="23"/>
      <c r="G644" s="22" t="s">
        <v>38</v>
      </c>
      <c r="H644" s="3"/>
      <c r="I644" s="4" t="s">
        <v>1363</v>
      </c>
      <c r="J644" s="7" t="n">
        <f aca="false">LEN(E644)-SUMPRODUCT(LEN(E644)-LEN(SUBSTITUTE(E644,{"，","。","？","！","、","…","；","：","《","》"," ","“","”","—","（","）","·"},"")))</f>
        <v>42</v>
      </c>
      <c r="K644" s="23"/>
    </row>
    <row r="645" customFormat="false" ht="36" hidden="false" customHeight="true" outlineLevel="0" collapsed="false">
      <c r="A645" s="7" t="s">
        <v>160</v>
      </c>
      <c r="B645" s="15" t="n">
        <v>5</v>
      </c>
      <c r="C645" s="7" t="n">
        <v>23</v>
      </c>
      <c r="D645" s="22" t="s">
        <v>222</v>
      </c>
      <c r="E645" s="4" t="s">
        <v>1364</v>
      </c>
      <c r="F645" s="23"/>
      <c r="G645" s="22" t="s">
        <v>36</v>
      </c>
      <c r="H645" s="3"/>
      <c r="I645" s="4" t="s">
        <v>1249</v>
      </c>
      <c r="J645" s="7" t="n">
        <f aca="false">LEN(E645)-SUMPRODUCT(LEN(E645)-LEN(SUBSTITUTE(E645,{"，","。","？","！","、","…","；","：","《","》"," ","“","”","—","（","）","·"},"")))</f>
        <v>21</v>
      </c>
      <c r="K645" s="23"/>
    </row>
    <row r="646" customFormat="false" ht="36" hidden="false" customHeight="true" outlineLevel="0" collapsed="false">
      <c r="A646" s="7" t="s">
        <v>160</v>
      </c>
      <c r="B646" s="15" t="n">
        <v>5</v>
      </c>
      <c r="C646" s="7" t="n">
        <v>24</v>
      </c>
      <c r="D646" s="22" t="s">
        <v>219</v>
      </c>
      <c r="E646" s="4" t="s">
        <v>1365</v>
      </c>
      <c r="F646" s="23" t="s">
        <v>234</v>
      </c>
      <c r="G646" s="22" t="s">
        <v>36</v>
      </c>
      <c r="H646" s="3"/>
      <c r="I646" s="4" t="s">
        <v>1366</v>
      </c>
      <c r="J646" s="7" t="n">
        <f aca="false">LEN(E646)-SUMPRODUCT(LEN(E646)-LEN(SUBSTITUTE(E646,{"，","。","？","！","、","…","；","：","《","》"," ","“","”","—","（","）","·"},"")))</f>
        <v>30</v>
      </c>
      <c r="K646" s="23"/>
    </row>
    <row r="647" customFormat="false" ht="21" hidden="false" customHeight="true" outlineLevel="0" collapsed="false">
      <c r="A647" s="7" t="s">
        <v>160</v>
      </c>
      <c r="B647" s="15" t="n">
        <v>5</v>
      </c>
      <c r="C647" s="7" t="n">
        <v>25</v>
      </c>
      <c r="D647" s="22" t="s">
        <v>481</v>
      </c>
      <c r="E647" s="4" t="s">
        <v>1367</v>
      </c>
      <c r="F647" s="23"/>
      <c r="G647" s="22" t="s">
        <v>32</v>
      </c>
      <c r="H647" s="3"/>
      <c r="I647" s="3"/>
      <c r="J647" s="7" t="n">
        <f aca="false">LEN(E647)-SUMPRODUCT(LEN(E647)-LEN(SUBSTITUTE(E647,{"，","。","？","！","、","…","；","：","《","》"," ","“","”","—","（","）","·"},"")))</f>
        <v>17</v>
      </c>
      <c r="K647" s="23"/>
    </row>
    <row r="648" customFormat="false" ht="21" hidden="false" customHeight="true" outlineLevel="0" collapsed="false">
      <c r="A648" s="7" t="s">
        <v>160</v>
      </c>
      <c r="B648" s="15" t="n">
        <v>5</v>
      </c>
      <c r="C648" s="7" t="n">
        <v>26</v>
      </c>
      <c r="D648" s="22" t="s">
        <v>219</v>
      </c>
      <c r="E648" s="4" t="s">
        <v>1368</v>
      </c>
      <c r="F648" s="23"/>
      <c r="G648" s="22" t="s">
        <v>32</v>
      </c>
      <c r="H648" s="3"/>
      <c r="I648" s="3"/>
      <c r="J648" s="7" t="n">
        <f aca="false">LEN(E648)-SUMPRODUCT(LEN(E648)-LEN(SUBSTITUTE(E648,{"，","。","？","！","、","…","；","：","《","》"," ","“","”","—","（","）","·"},"")))</f>
        <v>16</v>
      </c>
      <c r="K648" s="23"/>
    </row>
    <row r="649" customFormat="false" ht="36" hidden="false" customHeight="true" outlineLevel="0" collapsed="false">
      <c r="A649" s="7" t="s">
        <v>160</v>
      </c>
      <c r="B649" s="15" t="n">
        <v>5</v>
      </c>
      <c r="C649" s="7" t="n">
        <v>27</v>
      </c>
      <c r="D649" s="22" t="s">
        <v>232</v>
      </c>
      <c r="E649" s="4" t="s">
        <v>1369</v>
      </c>
      <c r="F649" s="23"/>
      <c r="G649" s="22" t="s">
        <v>32</v>
      </c>
      <c r="H649" s="3" t="s">
        <v>383</v>
      </c>
      <c r="I649" s="3"/>
      <c r="J649" s="7" t="n">
        <f aca="false">LEN(E649)-SUMPRODUCT(LEN(E649)-LEN(SUBSTITUTE(E649,{"，","。","？","！","、","…","；","：","《","》"," ","“","”","—","（","）","·"},"")))</f>
        <v>27</v>
      </c>
      <c r="K649" s="23"/>
    </row>
    <row r="650" customFormat="false" ht="36" hidden="false" customHeight="true" outlineLevel="0" collapsed="false">
      <c r="A650" s="7" t="s">
        <v>160</v>
      </c>
      <c r="B650" s="15" t="n">
        <v>5</v>
      </c>
      <c r="C650" s="7" t="n">
        <v>28</v>
      </c>
      <c r="D650" s="22" t="s">
        <v>222</v>
      </c>
      <c r="E650" s="4" t="s">
        <v>1370</v>
      </c>
      <c r="F650" s="23"/>
      <c r="G650" s="22" t="s">
        <v>32</v>
      </c>
      <c r="H650" s="3"/>
      <c r="I650" s="4" t="s">
        <v>1349</v>
      </c>
      <c r="J650" s="7" t="n">
        <f aca="false">LEN(E650)-SUMPRODUCT(LEN(E650)-LEN(SUBSTITUTE(E650,{"，","。","？","！","、","…","；","：","《","》"," ","“","”","—","（","）","·"},"")))</f>
        <v>28</v>
      </c>
      <c r="K650" s="23"/>
    </row>
    <row r="651" customFormat="false" ht="36" hidden="false" customHeight="true" outlineLevel="0" collapsed="false">
      <c r="A651" s="7" t="s">
        <v>160</v>
      </c>
      <c r="B651" s="15" t="n">
        <v>5</v>
      </c>
      <c r="C651" s="7" t="n">
        <v>29</v>
      </c>
      <c r="D651" s="22" t="s">
        <v>219</v>
      </c>
      <c r="E651" s="4" t="s">
        <v>1371</v>
      </c>
      <c r="F651" s="23" t="s">
        <v>1372</v>
      </c>
      <c r="G651" s="22" t="s">
        <v>32</v>
      </c>
      <c r="H651" s="3"/>
      <c r="I651" s="3"/>
      <c r="J651" s="7" t="n">
        <f aca="false">LEN(E651)-SUMPRODUCT(LEN(E651)-LEN(SUBSTITUTE(E651,{"，","。","？","！","、","…","；","：","《","》"," ","“","”","—","（","）","·"},"")))</f>
        <v>25</v>
      </c>
      <c r="K651" s="23"/>
    </row>
    <row r="652" customFormat="false" ht="36" hidden="false" customHeight="true" outlineLevel="0" collapsed="false">
      <c r="A652" s="7" t="s">
        <v>160</v>
      </c>
      <c r="B652" s="15" t="n">
        <v>5</v>
      </c>
      <c r="C652" s="7" t="n">
        <v>30</v>
      </c>
      <c r="D652" s="22" t="s">
        <v>219</v>
      </c>
      <c r="E652" s="4" t="s">
        <v>1373</v>
      </c>
      <c r="F652" s="23"/>
      <c r="G652" s="22" t="s">
        <v>36</v>
      </c>
      <c r="H652" s="3"/>
      <c r="I652" s="3"/>
      <c r="J652" s="7" t="n">
        <f aca="false">LEN(E652)-SUMPRODUCT(LEN(E652)-LEN(SUBSTITUTE(E652,{"，","。","？","！","、","…","；","：","《","》"," ","“","”","—","（","）","·"},"")))</f>
        <v>24</v>
      </c>
      <c r="K652" s="23"/>
    </row>
    <row r="653" customFormat="false" ht="36" hidden="false" customHeight="true" outlineLevel="0" collapsed="false">
      <c r="A653" s="7" t="s">
        <v>160</v>
      </c>
      <c r="B653" s="15" t="n">
        <v>5</v>
      </c>
      <c r="C653" s="7" t="n">
        <v>31</v>
      </c>
      <c r="D653" s="22" t="s">
        <v>481</v>
      </c>
      <c r="E653" s="4" t="s">
        <v>1374</v>
      </c>
      <c r="F653" s="23"/>
      <c r="G653" s="22" t="s">
        <v>36</v>
      </c>
      <c r="H653" s="3"/>
      <c r="I653" s="4" t="s">
        <v>1249</v>
      </c>
      <c r="J653" s="7" t="n">
        <f aca="false">LEN(E653)-SUMPRODUCT(LEN(E653)-LEN(SUBSTITUTE(E653,{"，","。","？","！","、","…","；","：","《","》"," ","“","”","—","（","）","·"},"")))</f>
        <v>25</v>
      </c>
      <c r="K653" s="23"/>
    </row>
    <row r="654" customFormat="false" ht="21" hidden="false" customHeight="true" outlineLevel="0" collapsed="false">
      <c r="A654" s="7" t="s">
        <v>160</v>
      </c>
      <c r="B654" s="15" t="n">
        <v>5</v>
      </c>
      <c r="C654" s="7" t="n">
        <v>32</v>
      </c>
      <c r="D654" s="22" t="s">
        <v>232</v>
      </c>
      <c r="E654" s="4" t="s">
        <v>1375</v>
      </c>
      <c r="F654" s="23"/>
      <c r="G654" s="22" t="s">
        <v>32</v>
      </c>
      <c r="H654" s="3"/>
      <c r="I654" s="4" t="s">
        <v>582</v>
      </c>
      <c r="J654" s="7" t="n">
        <f aca="false">LEN(E654)-SUMPRODUCT(LEN(E654)-LEN(SUBSTITUTE(E654,{"，","。","？","！","、","…","；","：","《","》"," ","“","”","—","（","）","·"},"")))</f>
        <v>22</v>
      </c>
      <c r="K654" s="23"/>
    </row>
    <row r="655" customFormat="false" ht="21" hidden="false" customHeight="true" outlineLevel="0" collapsed="false">
      <c r="A655" s="7" t="s">
        <v>160</v>
      </c>
      <c r="B655" s="15" t="n">
        <v>5</v>
      </c>
      <c r="C655" s="7" t="n">
        <v>33</v>
      </c>
      <c r="D655" s="22" t="s">
        <v>219</v>
      </c>
      <c r="E655" s="4" t="s">
        <v>1376</v>
      </c>
      <c r="F655" s="23"/>
      <c r="G655" s="22" t="s">
        <v>32</v>
      </c>
      <c r="H655" s="3"/>
      <c r="I655" s="4" t="s">
        <v>1377</v>
      </c>
      <c r="J655" s="7" t="n">
        <f aca="false">LEN(E655)-SUMPRODUCT(LEN(E655)-LEN(SUBSTITUTE(E655,{"，","。","？","！","、","…","；","：","《","》"," ","“","”","—","（","）","·"},"")))</f>
        <v>18</v>
      </c>
      <c r="K655" s="23"/>
    </row>
    <row r="656" customFormat="false" ht="21" hidden="false" customHeight="true" outlineLevel="0" collapsed="false">
      <c r="A656" s="7" t="s">
        <v>160</v>
      </c>
      <c r="B656" s="15" t="n">
        <v>5</v>
      </c>
      <c r="C656" s="7" t="n">
        <v>34</v>
      </c>
      <c r="D656" s="22" t="s">
        <v>222</v>
      </c>
      <c r="E656" s="4" t="s">
        <v>1378</v>
      </c>
      <c r="F656" s="23"/>
      <c r="G656" s="22" t="s">
        <v>42</v>
      </c>
      <c r="H656" s="3"/>
      <c r="I656" s="4" t="s">
        <v>1249</v>
      </c>
      <c r="J656" s="7" t="n">
        <f aca="false">LEN(E656)-SUMPRODUCT(LEN(E656)-LEN(SUBSTITUTE(E656,{"，","。","？","！","、","…","；","：","《","》"," ","“","”","—","（","）","·"},"")))</f>
        <v>16</v>
      </c>
      <c r="K656" s="23"/>
    </row>
    <row r="657" customFormat="false" ht="36" hidden="false" customHeight="true" outlineLevel="0" collapsed="false">
      <c r="A657" s="7" t="s">
        <v>160</v>
      </c>
      <c r="B657" s="15" t="n">
        <v>5</v>
      </c>
      <c r="C657" s="7" t="n">
        <v>35</v>
      </c>
      <c r="D657" s="22" t="s">
        <v>219</v>
      </c>
      <c r="E657" s="4" t="s">
        <v>1379</v>
      </c>
      <c r="F657" s="23" t="s">
        <v>1380</v>
      </c>
      <c r="G657" s="22" t="s">
        <v>40</v>
      </c>
      <c r="H657" s="3" t="s">
        <v>1381</v>
      </c>
      <c r="I657" s="4" t="s">
        <v>1382</v>
      </c>
      <c r="J657" s="7" t="n">
        <f aca="false">LEN(E657)-SUMPRODUCT(LEN(E657)-LEN(SUBSTITUTE(E657,{"，","。","？","！","、","…","；","：","《","》"," ","“","”","—","（","）","·"},"")))</f>
        <v>37</v>
      </c>
      <c r="K657" s="23"/>
    </row>
    <row r="658" customFormat="false" ht="36" hidden="false" customHeight="true" outlineLevel="0" collapsed="false">
      <c r="A658" s="7" t="s">
        <v>160</v>
      </c>
      <c r="B658" s="15" t="n">
        <v>5</v>
      </c>
      <c r="C658" s="7" t="n">
        <v>36</v>
      </c>
      <c r="D658" s="22" t="s">
        <v>219</v>
      </c>
      <c r="E658" s="4" t="s">
        <v>1383</v>
      </c>
      <c r="F658" s="23"/>
      <c r="G658" s="22" t="s">
        <v>40</v>
      </c>
      <c r="H658" s="3"/>
      <c r="I658" s="4" t="s">
        <v>1384</v>
      </c>
      <c r="J658" s="7" t="n">
        <f aca="false">LEN(E658)-SUMPRODUCT(LEN(E658)-LEN(SUBSTITUTE(E658,{"，","。","？","！","、","…","；","：","《","》"," ","“","”","—","（","）","·"},"")))</f>
        <v>40</v>
      </c>
      <c r="K658" s="23"/>
    </row>
    <row r="659" customFormat="false" ht="21" hidden="false" customHeight="true" outlineLevel="0" collapsed="false">
      <c r="A659" s="7" t="s">
        <v>160</v>
      </c>
      <c r="B659" s="15" t="n">
        <v>5</v>
      </c>
      <c r="C659" s="7" t="n">
        <v>37</v>
      </c>
      <c r="D659" s="22" t="s">
        <v>481</v>
      </c>
      <c r="E659" s="4" t="s">
        <v>1385</v>
      </c>
      <c r="F659" s="23"/>
      <c r="G659" s="22" t="s">
        <v>42</v>
      </c>
      <c r="H659" s="3" t="s">
        <v>1386</v>
      </c>
      <c r="I659" s="4" t="s">
        <v>1325</v>
      </c>
      <c r="J659" s="7" t="n">
        <f aca="false">LEN(E659)-SUMPRODUCT(LEN(E659)-LEN(SUBSTITUTE(E659,{"，","。","？","！","、","…","；","：","《","》"," ","“","”","—","（","）","·"},"")))</f>
        <v>11</v>
      </c>
      <c r="K659" s="23"/>
    </row>
    <row r="660" customFormat="false" ht="36" hidden="false" customHeight="true" outlineLevel="0" collapsed="false">
      <c r="A660" s="7" t="s">
        <v>164</v>
      </c>
      <c r="B660" s="15" t="n">
        <v>5</v>
      </c>
      <c r="C660" s="7" t="n">
        <v>1</v>
      </c>
      <c r="D660" s="22" t="s">
        <v>219</v>
      </c>
      <c r="E660" s="4" t="s">
        <v>1387</v>
      </c>
      <c r="F660" s="23" t="s">
        <v>1388</v>
      </c>
      <c r="G660" s="22" t="s">
        <v>42</v>
      </c>
      <c r="H660" s="3"/>
      <c r="I660" s="4" t="s">
        <v>1389</v>
      </c>
      <c r="J660" s="7" t="n">
        <f aca="false">LEN(E660)-SUMPRODUCT(LEN(E660)-LEN(SUBSTITUTE(E660,{"，","。","？","！","、","…","；","：","《","》"," ","“","”","—","（","）","·"},"")))</f>
        <v>23</v>
      </c>
      <c r="K660" s="23"/>
    </row>
    <row r="661" customFormat="false" ht="21" hidden="false" customHeight="true" outlineLevel="0" collapsed="false">
      <c r="A661" s="7" t="s">
        <v>164</v>
      </c>
      <c r="B661" s="15" t="n">
        <v>5</v>
      </c>
      <c r="C661" s="7" t="n">
        <v>2</v>
      </c>
      <c r="D661" s="22" t="s">
        <v>222</v>
      </c>
      <c r="E661" s="4" t="s">
        <v>1390</v>
      </c>
      <c r="F661" s="23"/>
      <c r="G661" s="22" t="s">
        <v>42</v>
      </c>
      <c r="H661" s="3"/>
      <c r="I661" s="4" t="s">
        <v>1391</v>
      </c>
      <c r="J661" s="7" t="n">
        <f aca="false">LEN(E661)-SUMPRODUCT(LEN(E661)-LEN(SUBSTITUTE(E661,{"，","。","？","！","、","…","；","：","《","》"," ","“","”","—","（","）","·"},"")))</f>
        <v>15</v>
      </c>
      <c r="K661" s="23"/>
    </row>
    <row r="662" customFormat="false" ht="36" hidden="false" customHeight="true" outlineLevel="0" collapsed="false">
      <c r="A662" s="7" t="s">
        <v>164</v>
      </c>
      <c r="B662" s="15" t="n">
        <v>5</v>
      </c>
      <c r="C662" s="7" t="n">
        <v>3</v>
      </c>
      <c r="D662" s="22" t="s">
        <v>219</v>
      </c>
      <c r="E662" s="4" t="s">
        <v>1392</v>
      </c>
      <c r="F662" s="23"/>
      <c r="G662" s="22" t="s">
        <v>40</v>
      </c>
      <c r="H662" s="3"/>
      <c r="I662" s="4" t="s">
        <v>1393</v>
      </c>
      <c r="J662" s="7" t="n">
        <f aca="false">LEN(E662)-SUMPRODUCT(LEN(E662)-LEN(SUBSTITUTE(E662,{"，","。","？","！","、","…","；","：","《","》"," ","“","”","—","（","）","·"},"")))</f>
        <v>29</v>
      </c>
      <c r="K662" s="23"/>
    </row>
    <row r="663" customFormat="false" ht="21" hidden="false" customHeight="true" outlineLevel="0" collapsed="false">
      <c r="A663" s="7" t="s">
        <v>164</v>
      </c>
      <c r="B663" s="15" t="n">
        <v>5</v>
      </c>
      <c r="C663" s="7" t="n">
        <v>4</v>
      </c>
      <c r="D663" s="22" t="s">
        <v>232</v>
      </c>
      <c r="E663" s="4" t="s">
        <v>1394</v>
      </c>
      <c r="F663" s="23" t="s">
        <v>1395</v>
      </c>
      <c r="G663" s="22" t="s">
        <v>42</v>
      </c>
      <c r="H663" s="3"/>
      <c r="I663" s="3"/>
      <c r="J663" s="7" t="n">
        <f aca="false">LEN(E663)-SUMPRODUCT(LEN(E663)-LEN(SUBSTITUTE(E663,{"，","。","？","！","、","…","；","：","《","》"," ","“","”","—","（","）","·"},"")))</f>
        <v>11</v>
      </c>
      <c r="K663" s="23"/>
    </row>
    <row r="664" customFormat="false" ht="36" hidden="false" customHeight="true" outlineLevel="0" collapsed="false">
      <c r="A664" s="7" t="s">
        <v>164</v>
      </c>
      <c r="B664" s="15" t="n">
        <v>5</v>
      </c>
      <c r="C664" s="7" t="n">
        <v>5</v>
      </c>
      <c r="D664" s="22" t="s">
        <v>219</v>
      </c>
      <c r="E664" s="4" t="s">
        <v>1396</v>
      </c>
      <c r="F664" s="23"/>
      <c r="G664" s="22" t="s">
        <v>30</v>
      </c>
      <c r="H664" s="3"/>
      <c r="I664" s="3"/>
      <c r="J664" s="7" t="n">
        <f aca="false">LEN(E664)-SUMPRODUCT(LEN(E664)-LEN(SUBSTITUTE(E664,{"，","。","？","！","、","…","；","：","《","》"," ","“","”","—","（","）","·"},"")))</f>
        <v>29</v>
      </c>
      <c r="K664" s="23"/>
    </row>
    <row r="665" customFormat="false" ht="36" hidden="false" customHeight="true" outlineLevel="0" collapsed="false">
      <c r="A665" s="7" t="s">
        <v>164</v>
      </c>
      <c r="B665" s="15" t="n">
        <v>5</v>
      </c>
      <c r="C665" s="7" t="n">
        <v>6</v>
      </c>
      <c r="D665" s="22" t="s">
        <v>219</v>
      </c>
      <c r="E665" s="4" t="s">
        <v>1397</v>
      </c>
      <c r="F665" s="23"/>
      <c r="G665" s="22" t="s">
        <v>30</v>
      </c>
      <c r="H665" s="3" t="s">
        <v>1398</v>
      </c>
      <c r="I665" s="4" t="s">
        <v>1399</v>
      </c>
      <c r="J665" s="7" t="n">
        <f aca="false">LEN(E665)-SUMPRODUCT(LEN(E665)-LEN(SUBSTITUTE(E665,{"，","。","？","！","、","…","；","：","《","》"," ","“","”","—","（","）","·"},"")))</f>
        <v>38</v>
      </c>
      <c r="K665" s="23"/>
    </row>
    <row r="666" customFormat="false" ht="36" hidden="false" customHeight="true" outlineLevel="0" collapsed="false">
      <c r="A666" s="7" t="s">
        <v>164</v>
      </c>
      <c r="B666" s="15" t="n">
        <v>5</v>
      </c>
      <c r="C666" s="7" t="n">
        <v>7</v>
      </c>
      <c r="D666" s="22" t="s">
        <v>232</v>
      </c>
      <c r="E666" s="4" t="s">
        <v>1400</v>
      </c>
      <c r="F666" s="23"/>
      <c r="G666" s="22" t="s">
        <v>30</v>
      </c>
      <c r="H666" s="3"/>
      <c r="I666" s="4" t="s">
        <v>1401</v>
      </c>
      <c r="J666" s="7" t="n">
        <f aca="false">LEN(E666)-SUMPRODUCT(LEN(E666)-LEN(SUBSTITUTE(E666,{"，","。","？","！","、","…","；","：","《","》"," ","“","”","—","（","）","·"},"")))</f>
        <v>11</v>
      </c>
      <c r="K666" s="23"/>
    </row>
    <row r="667" customFormat="false" ht="36" hidden="false" customHeight="true" outlineLevel="0" collapsed="false">
      <c r="A667" s="7" t="s">
        <v>164</v>
      </c>
      <c r="B667" s="15" t="n">
        <v>5</v>
      </c>
      <c r="C667" s="7" t="n">
        <v>8</v>
      </c>
      <c r="D667" s="22" t="s">
        <v>219</v>
      </c>
      <c r="E667" s="4" t="s">
        <v>1402</v>
      </c>
      <c r="F667" s="23"/>
      <c r="G667" s="22" t="s">
        <v>30</v>
      </c>
      <c r="H667" s="3"/>
      <c r="I667" s="4" t="s">
        <v>1403</v>
      </c>
      <c r="J667" s="7" t="n">
        <f aca="false">LEN(E667)-SUMPRODUCT(LEN(E667)-LEN(SUBSTITUTE(E667,{"，","。","？","！","、","…","；","：","《","》"," ","“","”","—","（","）","·"},"")))</f>
        <v>21</v>
      </c>
      <c r="K667" s="23"/>
    </row>
    <row r="668" customFormat="false" ht="36" hidden="false" customHeight="true" outlineLevel="0" collapsed="false">
      <c r="A668" s="7" t="s">
        <v>164</v>
      </c>
      <c r="B668" s="15" t="n">
        <v>5</v>
      </c>
      <c r="C668" s="7" t="n">
        <v>9</v>
      </c>
      <c r="D668" s="22" t="s">
        <v>222</v>
      </c>
      <c r="E668" s="4" t="s">
        <v>1404</v>
      </c>
      <c r="F668" s="23"/>
      <c r="G668" s="22" t="s">
        <v>30</v>
      </c>
      <c r="H668" s="3" t="s">
        <v>1284</v>
      </c>
      <c r="I668" s="3"/>
      <c r="J668" s="7" t="n">
        <f aca="false">LEN(E668)-SUMPRODUCT(LEN(E668)-LEN(SUBSTITUTE(E668,{"，","。","？","！","、","…","；","：","《","》"," ","“","”","—","（","）","·"},"")))</f>
        <v>6</v>
      </c>
      <c r="K668" s="23"/>
    </row>
    <row r="669" customFormat="false" ht="36" hidden="false" customHeight="true" outlineLevel="0" collapsed="false">
      <c r="A669" s="7" t="s">
        <v>164</v>
      </c>
      <c r="B669" s="15" t="n">
        <v>5</v>
      </c>
      <c r="C669" s="7" t="n">
        <v>10</v>
      </c>
      <c r="D669" s="22" t="s">
        <v>219</v>
      </c>
      <c r="E669" s="4" t="s">
        <v>1405</v>
      </c>
      <c r="F669" s="23"/>
      <c r="G669" s="22" t="s">
        <v>30</v>
      </c>
      <c r="H669" s="4" t="s">
        <v>1406</v>
      </c>
      <c r="I669" s="4" t="s">
        <v>1407</v>
      </c>
      <c r="J669" s="7" t="n">
        <f aca="false">LEN(E669)-SUMPRODUCT(LEN(E669)-LEN(SUBSTITUTE(E669,{"，","。","？","！","、","…","；","：","《","》"," ","“","”","—","（","）","·"},"")))</f>
        <v>22</v>
      </c>
      <c r="K669" s="23"/>
    </row>
    <row r="670" customFormat="false" ht="36" hidden="false" customHeight="true" outlineLevel="0" collapsed="false">
      <c r="A670" s="7" t="s">
        <v>164</v>
      </c>
      <c r="B670" s="15" t="n">
        <v>5</v>
      </c>
      <c r="C670" s="7" t="n">
        <v>11</v>
      </c>
      <c r="D670" s="22" t="s">
        <v>219</v>
      </c>
      <c r="E670" s="4" t="s">
        <v>1408</v>
      </c>
      <c r="F670" s="23"/>
      <c r="G670" s="22" t="s">
        <v>30</v>
      </c>
      <c r="H670" s="4" t="s">
        <v>1409</v>
      </c>
      <c r="I670" s="4" t="s">
        <v>1410</v>
      </c>
      <c r="J670" s="7" t="n">
        <f aca="false">LEN(E670)-SUMPRODUCT(LEN(E670)-LEN(SUBSTITUTE(E670,{"，","。","？","！","、","…","；","：","《","》"," ","“","”","—","（","）","·"},"")))</f>
        <v>25</v>
      </c>
      <c r="K670" s="23"/>
    </row>
    <row r="671" customFormat="false" ht="36" hidden="false" customHeight="true" outlineLevel="0" collapsed="false">
      <c r="A671" s="7" t="s">
        <v>164</v>
      </c>
      <c r="B671" s="15" t="n">
        <v>5</v>
      </c>
      <c r="C671" s="7" t="n">
        <v>12</v>
      </c>
      <c r="D671" s="22" t="s">
        <v>481</v>
      </c>
      <c r="E671" s="4" t="s">
        <v>1411</v>
      </c>
      <c r="F671" s="23"/>
      <c r="G671" s="22" t="s">
        <v>30</v>
      </c>
      <c r="H671" s="3" t="s">
        <v>1412</v>
      </c>
      <c r="I671" s="4" t="s">
        <v>1249</v>
      </c>
      <c r="J671" s="7" t="n">
        <f aca="false">LEN(E671)-SUMPRODUCT(LEN(E671)-LEN(SUBSTITUTE(E671,{"，","。","？","！","、","…","；","：","《","》"," ","“","”","—","（","）","·"},"")))</f>
        <v>16</v>
      </c>
      <c r="K671" s="23"/>
    </row>
    <row r="672" customFormat="false" ht="36" hidden="false" customHeight="true" outlineLevel="0" collapsed="false">
      <c r="A672" s="7" t="s">
        <v>164</v>
      </c>
      <c r="B672" s="15" t="n">
        <v>5</v>
      </c>
      <c r="C672" s="7" t="n">
        <v>13</v>
      </c>
      <c r="D672" s="22" t="s">
        <v>219</v>
      </c>
      <c r="E672" s="4" t="s">
        <v>1413</v>
      </c>
      <c r="F672" s="23"/>
      <c r="G672" s="22" t="s">
        <v>30</v>
      </c>
      <c r="H672" s="3" t="s">
        <v>227</v>
      </c>
      <c r="I672" s="4" t="s">
        <v>1414</v>
      </c>
      <c r="J672" s="7" t="n">
        <f aca="false">LEN(E672)-SUMPRODUCT(LEN(E672)-LEN(SUBSTITUTE(E672,{"，","。","？","！","、","…","；","：","《","》"," ","“","”","—","（","）","·"},"")))</f>
        <v>20</v>
      </c>
      <c r="K672" s="23"/>
    </row>
    <row r="673" customFormat="false" ht="36" hidden="false" customHeight="true" outlineLevel="0" collapsed="false">
      <c r="A673" s="7" t="s">
        <v>164</v>
      </c>
      <c r="B673" s="15" t="n">
        <v>5</v>
      </c>
      <c r="C673" s="7" t="n">
        <v>14</v>
      </c>
      <c r="D673" s="22" t="s">
        <v>222</v>
      </c>
      <c r="E673" s="4" t="s">
        <v>1415</v>
      </c>
      <c r="F673" s="23"/>
      <c r="G673" s="22" t="s">
        <v>30</v>
      </c>
      <c r="H673" s="3"/>
      <c r="I673" s="4" t="s">
        <v>1416</v>
      </c>
      <c r="J673" s="7" t="n">
        <f aca="false">LEN(E673)-SUMPRODUCT(LEN(E673)-LEN(SUBSTITUTE(E673,{"，","。","？","！","、","…","；","：","《","》"," ","“","”","—","（","）","·"},"")))</f>
        <v>27</v>
      </c>
      <c r="K673" s="23"/>
    </row>
    <row r="674" customFormat="false" ht="36" hidden="false" customHeight="true" outlineLevel="0" collapsed="false">
      <c r="A674" s="7" t="s">
        <v>164</v>
      </c>
      <c r="B674" s="15" t="n">
        <v>5</v>
      </c>
      <c r="C674" s="7" t="n">
        <v>15</v>
      </c>
      <c r="D674" s="22" t="s">
        <v>481</v>
      </c>
      <c r="E674" s="4" t="s">
        <v>1417</v>
      </c>
      <c r="F674" s="23"/>
      <c r="G674" s="22" t="s">
        <v>30</v>
      </c>
      <c r="H674" s="3"/>
      <c r="I674" s="4" t="s">
        <v>1418</v>
      </c>
      <c r="J674" s="7" t="n">
        <f aca="false">LEN(E674)-SUMPRODUCT(LEN(E674)-LEN(SUBSTITUTE(E674,{"，","。","？","！","、","…","；","：","《","》"," ","“","”","—","（","）","·"},"")))</f>
        <v>25</v>
      </c>
      <c r="K674" s="23"/>
    </row>
    <row r="675" customFormat="false" ht="36" hidden="false" customHeight="true" outlineLevel="0" collapsed="false">
      <c r="A675" s="7" t="s">
        <v>164</v>
      </c>
      <c r="B675" s="15" t="n">
        <v>5</v>
      </c>
      <c r="C675" s="7" t="n">
        <v>16</v>
      </c>
      <c r="D675" s="22" t="s">
        <v>219</v>
      </c>
      <c r="E675" s="4" t="s">
        <v>1419</v>
      </c>
      <c r="F675" s="23"/>
      <c r="G675" s="22" t="s">
        <v>32</v>
      </c>
      <c r="H675" s="3" t="s">
        <v>1420</v>
      </c>
      <c r="I675" s="4" t="s">
        <v>1421</v>
      </c>
      <c r="J675" s="7" t="n">
        <f aca="false">LEN(E675)-SUMPRODUCT(LEN(E675)-LEN(SUBSTITUTE(E675,{"，","。","？","！","、","…","；","：","《","》"," ","“","”","—","（","）","·"},"")))</f>
        <v>33</v>
      </c>
      <c r="K675" s="23"/>
    </row>
    <row r="676" customFormat="false" ht="21" hidden="false" customHeight="true" outlineLevel="0" collapsed="false">
      <c r="A676" s="7" t="s">
        <v>164</v>
      </c>
      <c r="B676" s="15" t="n">
        <v>5</v>
      </c>
      <c r="C676" s="7" t="n">
        <v>17</v>
      </c>
      <c r="D676" s="22" t="s">
        <v>232</v>
      </c>
      <c r="E676" s="4" t="s">
        <v>1422</v>
      </c>
      <c r="F676" s="23"/>
      <c r="G676" s="22" t="s">
        <v>32</v>
      </c>
      <c r="H676" s="3" t="s">
        <v>656</v>
      </c>
      <c r="I676" s="4" t="s">
        <v>535</v>
      </c>
      <c r="J676" s="7" t="n">
        <f aca="false">LEN(E676)-SUMPRODUCT(LEN(E676)-LEN(SUBSTITUTE(E676,{"，","。","？","！","、","…","；","：","《","》"," ","“","”","—","（","）","·"},"")))</f>
        <v>12</v>
      </c>
      <c r="K676" s="23"/>
    </row>
    <row r="677" customFormat="false" ht="36" hidden="false" customHeight="true" outlineLevel="0" collapsed="false">
      <c r="A677" s="7" t="s">
        <v>164</v>
      </c>
      <c r="B677" s="15" t="n">
        <v>5</v>
      </c>
      <c r="C677" s="7" t="n">
        <v>18</v>
      </c>
      <c r="D677" s="22" t="s">
        <v>219</v>
      </c>
      <c r="E677" s="4" t="s">
        <v>1423</v>
      </c>
      <c r="F677" s="23"/>
      <c r="G677" s="22" t="s">
        <v>32</v>
      </c>
      <c r="H677" s="3" t="s">
        <v>1424</v>
      </c>
      <c r="I677" s="4" t="s">
        <v>1425</v>
      </c>
      <c r="J677" s="7" t="n">
        <f aca="false">LEN(E677)-SUMPRODUCT(LEN(E677)-LEN(SUBSTITUTE(E677,{"，","。","？","！","、","…","；","：","《","》"," ","“","”","—","（","）","·"},"")))</f>
        <v>24</v>
      </c>
      <c r="K677" s="23"/>
    </row>
    <row r="678" customFormat="false" ht="36" hidden="false" customHeight="true" outlineLevel="0" collapsed="false">
      <c r="A678" s="7" t="s">
        <v>164</v>
      </c>
      <c r="B678" s="15" t="n">
        <v>5</v>
      </c>
      <c r="C678" s="7" t="n">
        <v>19</v>
      </c>
      <c r="D678" s="22" t="s">
        <v>232</v>
      </c>
      <c r="E678" s="4" t="s">
        <v>1426</v>
      </c>
      <c r="F678" s="23"/>
      <c r="G678" s="22" t="s">
        <v>30</v>
      </c>
      <c r="H678" s="3"/>
      <c r="I678" s="4" t="s">
        <v>1427</v>
      </c>
      <c r="J678" s="7" t="n">
        <f aca="false">LEN(E678)-SUMPRODUCT(LEN(E678)-LEN(SUBSTITUTE(E678,{"，","。","？","！","、","…","；","：","《","》"," ","“","”","—","（","）","·"},"")))</f>
        <v>17</v>
      </c>
      <c r="K678" s="23"/>
    </row>
    <row r="679" customFormat="false" ht="36" hidden="false" customHeight="true" outlineLevel="0" collapsed="false">
      <c r="A679" s="7" t="s">
        <v>164</v>
      </c>
      <c r="B679" s="15" t="n">
        <v>5</v>
      </c>
      <c r="C679" s="7" t="n">
        <v>20</v>
      </c>
      <c r="D679" s="22" t="s">
        <v>481</v>
      </c>
      <c r="E679" s="4" t="s">
        <v>1428</v>
      </c>
      <c r="F679" s="23"/>
      <c r="G679" s="22" t="s">
        <v>30</v>
      </c>
      <c r="H679" s="3" t="s">
        <v>1284</v>
      </c>
      <c r="I679" s="4" t="s">
        <v>1429</v>
      </c>
      <c r="J679" s="7" t="n">
        <f aca="false">LEN(E679)-SUMPRODUCT(LEN(E679)-LEN(SUBSTITUTE(E679,{"，","。","？","！","、","…","；","：","《","》"," ","“","”","—","（","）","·"},"")))</f>
        <v>25</v>
      </c>
      <c r="K679" s="23"/>
    </row>
    <row r="680" customFormat="false" ht="36" hidden="false" customHeight="true" outlineLevel="0" collapsed="false">
      <c r="A680" s="7" t="s">
        <v>164</v>
      </c>
      <c r="B680" s="15" t="n">
        <v>5</v>
      </c>
      <c r="C680" s="7" t="n">
        <v>21</v>
      </c>
      <c r="D680" s="22" t="s">
        <v>222</v>
      </c>
      <c r="E680" s="4" t="s">
        <v>1430</v>
      </c>
      <c r="F680" s="23"/>
      <c r="G680" s="22" t="s">
        <v>30</v>
      </c>
      <c r="H680" s="3"/>
      <c r="I680" s="4" t="s">
        <v>1431</v>
      </c>
      <c r="J680" s="7" t="n">
        <f aca="false">LEN(E680)-SUMPRODUCT(LEN(E680)-LEN(SUBSTITUTE(E680,{"，","。","？","！","、","…","；","：","《","》"," ","“","”","—","（","）","·"},"")))</f>
        <v>16</v>
      </c>
      <c r="K680" s="23"/>
    </row>
    <row r="681" customFormat="false" ht="36" hidden="false" customHeight="true" outlineLevel="0" collapsed="false">
      <c r="A681" s="7" t="s">
        <v>164</v>
      </c>
      <c r="B681" s="15" t="n">
        <v>5</v>
      </c>
      <c r="C681" s="7" t="n">
        <v>22</v>
      </c>
      <c r="D681" s="22" t="s">
        <v>219</v>
      </c>
      <c r="E681" s="4" t="s">
        <v>1432</v>
      </c>
      <c r="F681" s="23"/>
      <c r="G681" s="22" t="s">
        <v>30</v>
      </c>
      <c r="H681" s="3"/>
      <c r="I681" s="4" t="s">
        <v>1433</v>
      </c>
      <c r="J681" s="7" t="n">
        <f aca="false">LEN(E681)-SUMPRODUCT(LEN(E681)-LEN(SUBSTITUTE(E681,{"，","。","？","！","、","…","；","：","《","》"," ","“","”","—","（","）","·"},"")))</f>
        <v>21</v>
      </c>
      <c r="K681" s="23"/>
    </row>
    <row r="682" customFormat="false" ht="36" hidden="false" customHeight="true" outlineLevel="0" collapsed="false">
      <c r="A682" s="7" t="s">
        <v>164</v>
      </c>
      <c r="B682" s="15" t="n">
        <v>5</v>
      </c>
      <c r="C682" s="7" t="n">
        <v>23</v>
      </c>
      <c r="D682" s="22" t="s">
        <v>481</v>
      </c>
      <c r="E682" s="4" t="s">
        <v>1434</v>
      </c>
      <c r="F682" s="23" t="s">
        <v>1435</v>
      </c>
      <c r="G682" s="22" t="s">
        <v>30</v>
      </c>
      <c r="H682" s="3"/>
      <c r="I682" s="4" t="s">
        <v>1436</v>
      </c>
      <c r="J682" s="7" t="n">
        <f aca="false">LEN(E682)-SUMPRODUCT(LEN(E682)-LEN(SUBSTITUTE(E682,{"，","。","？","！","、","…","；","：","《","》"," ","“","”","—","（","）","·"},"")))</f>
        <v>21</v>
      </c>
      <c r="K682" s="23"/>
    </row>
    <row r="683" customFormat="false" ht="36" hidden="false" customHeight="true" outlineLevel="0" collapsed="false">
      <c r="A683" s="7" t="s">
        <v>164</v>
      </c>
      <c r="B683" s="15" t="n">
        <v>5</v>
      </c>
      <c r="C683" s="7" t="n">
        <v>24</v>
      </c>
      <c r="D683" s="22" t="s">
        <v>222</v>
      </c>
      <c r="E683" s="4" t="s">
        <v>1437</v>
      </c>
      <c r="F683" s="23"/>
      <c r="G683" s="22" t="s">
        <v>30</v>
      </c>
      <c r="H683" s="3" t="s">
        <v>637</v>
      </c>
      <c r="I683" s="4" t="s">
        <v>1438</v>
      </c>
      <c r="J683" s="7" t="n">
        <f aca="false">LEN(E683)-SUMPRODUCT(LEN(E683)-LEN(SUBSTITUTE(E683,{"，","。","？","！","、","…","；","：","《","》"," ","“","”","—","（","）","·"},"")))</f>
        <v>16</v>
      </c>
      <c r="K683" s="23"/>
    </row>
    <row r="684" customFormat="false" ht="36" hidden="false" customHeight="true" outlineLevel="0" collapsed="false">
      <c r="A684" s="7" t="s">
        <v>164</v>
      </c>
      <c r="B684" s="15" t="n">
        <v>5</v>
      </c>
      <c r="C684" s="7" t="n">
        <v>25</v>
      </c>
      <c r="D684" s="22" t="s">
        <v>219</v>
      </c>
      <c r="E684" s="4" t="s">
        <v>1439</v>
      </c>
      <c r="F684" s="23"/>
      <c r="G684" s="22" t="s">
        <v>30</v>
      </c>
      <c r="H684" s="3" t="s">
        <v>637</v>
      </c>
      <c r="I684" s="4" t="s">
        <v>664</v>
      </c>
      <c r="J684" s="7" t="n">
        <f aca="false">LEN(E684)-SUMPRODUCT(LEN(E684)-LEN(SUBSTITUTE(E684,{"，","。","？","！","、","…","；","：","《","》"," ","“","”","—","（","）","·"},"")))</f>
        <v>18</v>
      </c>
      <c r="K684" s="23"/>
    </row>
    <row r="685" customFormat="false" ht="36" hidden="false" customHeight="true" outlineLevel="0" collapsed="false">
      <c r="A685" s="7" t="s">
        <v>164</v>
      </c>
      <c r="B685" s="15" t="n">
        <v>5</v>
      </c>
      <c r="C685" s="7" t="n">
        <v>26</v>
      </c>
      <c r="D685" s="22" t="s">
        <v>219</v>
      </c>
      <c r="E685" s="4" t="s">
        <v>1440</v>
      </c>
      <c r="F685" s="23"/>
      <c r="G685" s="22" t="s">
        <v>32</v>
      </c>
      <c r="H685" s="3" t="s">
        <v>1441</v>
      </c>
      <c r="I685" s="4" t="s">
        <v>1442</v>
      </c>
      <c r="J685" s="7" t="n">
        <f aca="false">LEN(E685)-SUMPRODUCT(LEN(E685)-LEN(SUBSTITUTE(E685,{"，","。","？","！","、","…","；","：","《","》"," ","“","”","—","（","）","·"},"")))</f>
        <v>24</v>
      </c>
      <c r="K685" s="23"/>
    </row>
    <row r="686" customFormat="false" ht="36" hidden="false" customHeight="true" outlineLevel="0" collapsed="false">
      <c r="A686" s="7" t="s">
        <v>164</v>
      </c>
      <c r="B686" s="15" t="n">
        <v>5</v>
      </c>
      <c r="C686" s="7" t="n">
        <v>27</v>
      </c>
      <c r="D686" s="22" t="s">
        <v>481</v>
      </c>
      <c r="E686" s="4" t="s">
        <v>1443</v>
      </c>
      <c r="F686" s="23"/>
      <c r="G686" s="22" t="s">
        <v>32</v>
      </c>
      <c r="H686" s="3" t="s">
        <v>1444</v>
      </c>
      <c r="I686" s="4" t="s">
        <v>1249</v>
      </c>
      <c r="J686" s="7" t="n">
        <f aca="false">LEN(E686)-SUMPRODUCT(LEN(E686)-LEN(SUBSTITUTE(E686,{"，","。","？","！","、","…","；","：","《","》"," ","“","”","—","（","）","·"},"")))</f>
        <v>25</v>
      </c>
      <c r="K686" s="23"/>
    </row>
    <row r="687" customFormat="false" ht="36" hidden="false" customHeight="true" outlineLevel="0" collapsed="false">
      <c r="A687" s="7" t="s">
        <v>164</v>
      </c>
      <c r="B687" s="15" t="n">
        <v>5</v>
      </c>
      <c r="C687" s="7" t="n">
        <v>28</v>
      </c>
      <c r="D687" s="22" t="s">
        <v>219</v>
      </c>
      <c r="E687" s="4" t="s">
        <v>1445</v>
      </c>
      <c r="F687" s="23" t="s">
        <v>1446</v>
      </c>
      <c r="G687" s="22" t="s">
        <v>32</v>
      </c>
      <c r="H687" s="3"/>
      <c r="I687" s="3"/>
      <c r="J687" s="7" t="n">
        <f aca="false">LEN(E687)-SUMPRODUCT(LEN(E687)-LEN(SUBSTITUTE(E687,{"，","。","？","！","、","…","；","：","《","》"," ","“","”","—","（","）","·"},"")))</f>
        <v>31</v>
      </c>
      <c r="K687" s="23"/>
    </row>
    <row r="688" customFormat="false" ht="21" hidden="false" customHeight="true" outlineLevel="0" collapsed="false">
      <c r="A688" s="7" t="s">
        <v>164</v>
      </c>
      <c r="B688" s="15" t="n">
        <v>5</v>
      </c>
      <c r="C688" s="7" t="n">
        <v>29</v>
      </c>
      <c r="D688" s="22" t="s">
        <v>222</v>
      </c>
      <c r="E688" s="4" t="s">
        <v>1447</v>
      </c>
      <c r="F688" s="23"/>
      <c r="G688" s="22" t="s">
        <v>32</v>
      </c>
      <c r="H688" s="3"/>
      <c r="I688" s="4" t="s">
        <v>1249</v>
      </c>
      <c r="J688" s="7" t="n">
        <f aca="false">LEN(E688)-SUMPRODUCT(LEN(E688)-LEN(SUBSTITUTE(E688,{"，","。","？","！","、","…","；","：","《","》"," ","“","”","—","（","）","·"},"")))</f>
        <v>22</v>
      </c>
      <c r="K688" s="23"/>
    </row>
    <row r="689" customFormat="false" ht="51" hidden="false" customHeight="true" outlineLevel="0" collapsed="false">
      <c r="A689" s="7" t="s">
        <v>164</v>
      </c>
      <c r="B689" s="15" t="n">
        <v>5</v>
      </c>
      <c r="C689" s="7" t="n">
        <v>30</v>
      </c>
      <c r="D689" s="22" t="s">
        <v>219</v>
      </c>
      <c r="E689" s="4" t="s">
        <v>1448</v>
      </c>
      <c r="F689" s="23"/>
      <c r="G689" s="22" t="s">
        <v>30</v>
      </c>
      <c r="H689" s="3"/>
      <c r="I689" s="4" t="s">
        <v>1449</v>
      </c>
      <c r="J689" s="7" t="n">
        <f aca="false">LEN(E689)-SUMPRODUCT(LEN(E689)-LEN(SUBSTITUTE(E689,{"，","。","？","！","、","…","；","：","《","》"," ","“","”","—","（","）","·"},"")))</f>
        <v>53</v>
      </c>
      <c r="K689" s="23"/>
    </row>
    <row r="690" customFormat="false" ht="36" hidden="false" customHeight="true" outlineLevel="0" collapsed="false">
      <c r="A690" s="7" t="s">
        <v>164</v>
      </c>
      <c r="B690" s="15" t="n">
        <v>5</v>
      </c>
      <c r="C690" s="7" t="n">
        <v>31</v>
      </c>
      <c r="D690" s="22" t="s">
        <v>232</v>
      </c>
      <c r="E690" s="4" t="s">
        <v>1450</v>
      </c>
      <c r="F690" s="23"/>
      <c r="G690" s="22" t="s">
        <v>34</v>
      </c>
      <c r="H690" s="3"/>
      <c r="I690" s="3"/>
      <c r="J690" s="7" t="n">
        <f aca="false">LEN(E690)-SUMPRODUCT(LEN(E690)-LEN(SUBSTITUTE(E690,{"，","。","？","！","、","…","；","：","《","》"," ","“","”","—","（","）","·"},"")))</f>
        <v>15</v>
      </c>
      <c r="K690" s="23"/>
    </row>
    <row r="691" customFormat="false" ht="36" hidden="false" customHeight="true" outlineLevel="0" collapsed="false">
      <c r="A691" s="7" t="s">
        <v>164</v>
      </c>
      <c r="B691" s="15" t="n">
        <v>5</v>
      </c>
      <c r="C691" s="7" t="n">
        <v>32</v>
      </c>
      <c r="D691" s="22" t="s">
        <v>481</v>
      </c>
      <c r="E691" s="4" t="s">
        <v>1451</v>
      </c>
      <c r="F691" s="23"/>
      <c r="G691" s="22" t="s">
        <v>30</v>
      </c>
      <c r="H691" s="3"/>
      <c r="I691" s="3"/>
      <c r="J691" s="7" t="n">
        <f aca="false">LEN(E691)-SUMPRODUCT(LEN(E691)-LEN(SUBSTITUTE(E691,{"，","。","？","！","、","…","；","：","《","》"," ","“","”","—","（","）","·"},"")))</f>
        <v>19</v>
      </c>
      <c r="K691" s="23"/>
    </row>
    <row r="692" customFormat="false" ht="36" hidden="false" customHeight="true" outlineLevel="0" collapsed="false">
      <c r="A692" s="7" t="s">
        <v>164</v>
      </c>
      <c r="B692" s="15" t="n">
        <v>5</v>
      </c>
      <c r="C692" s="7" t="n">
        <v>33</v>
      </c>
      <c r="D692" s="22" t="s">
        <v>219</v>
      </c>
      <c r="E692" s="4" t="s">
        <v>1452</v>
      </c>
      <c r="F692" s="23"/>
      <c r="G692" s="22" t="s">
        <v>30</v>
      </c>
      <c r="H692" s="3"/>
      <c r="I692" s="4" t="s">
        <v>519</v>
      </c>
      <c r="J692" s="7" t="n">
        <f aca="false">LEN(E692)-SUMPRODUCT(LEN(E692)-LEN(SUBSTITUTE(E692,{"，","。","？","！","、","…","；","：","《","》"," ","“","”","—","（","）","·"},"")))</f>
        <v>27</v>
      </c>
      <c r="K692" s="23"/>
    </row>
    <row r="693" customFormat="false" ht="36" hidden="false" customHeight="true" outlineLevel="0" collapsed="false">
      <c r="A693" s="7" t="s">
        <v>164</v>
      </c>
      <c r="B693" s="15" t="n">
        <v>5</v>
      </c>
      <c r="C693" s="7" t="n">
        <v>34</v>
      </c>
      <c r="D693" s="22" t="s">
        <v>222</v>
      </c>
      <c r="E693" s="4" t="s">
        <v>1453</v>
      </c>
      <c r="F693" s="23"/>
      <c r="G693" s="22" t="s">
        <v>30</v>
      </c>
      <c r="H693" s="3"/>
      <c r="I693" s="4" t="s">
        <v>1241</v>
      </c>
      <c r="J693" s="7" t="n">
        <f aca="false">LEN(E693)-SUMPRODUCT(LEN(E693)-LEN(SUBSTITUTE(E693,{"，","。","？","！","、","…","；","：","《","》"," ","“","”","—","（","）","·"},"")))</f>
        <v>18</v>
      </c>
      <c r="K693" s="23"/>
    </row>
    <row r="694" customFormat="false" ht="36" hidden="false" customHeight="true" outlineLevel="0" collapsed="false">
      <c r="A694" s="7" t="s">
        <v>164</v>
      </c>
      <c r="B694" s="15" t="n">
        <v>5</v>
      </c>
      <c r="C694" s="7" t="n">
        <v>35</v>
      </c>
      <c r="D694" s="22" t="s">
        <v>232</v>
      </c>
      <c r="E694" s="4" t="s">
        <v>1454</v>
      </c>
      <c r="F694" s="23"/>
      <c r="G694" s="22" t="s">
        <v>30</v>
      </c>
      <c r="H694" s="3"/>
      <c r="I694" s="4" t="s">
        <v>1455</v>
      </c>
      <c r="J694" s="7" t="n">
        <f aca="false">LEN(E694)-SUMPRODUCT(LEN(E694)-LEN(SUBSTITUTE(E694,{"，","。","？","！","、","…","；","：","《","》"," ","“","”","—","（","）","·"},"")))</f>
        <v>34</v>
      </c>
      <c r="K694" s="23"/>
    </row>
    <row r="695" customFormat="false" ht="36" hidden="false" customHeight="true" outlineLevel="0" collapsed="false">
      <c r="A695" s="7" t="s">
        <v>164</v>
      </c>
      <c r="B695" s="15" t="n">
        <v>5</v>
      </c>
      <c r="C695" s="7" t="n">
        <v>36</v>
      </c>
      <c r="D695" s="22" t="s">
        <v>219</v>
      </c>
      <c r="E695" s="4" t="s">
        <v>1456</v>
      </c>
      <c r="F695" s="23"/>
      <c r="G695" s="22" t="s">
        <v>30</v>
      </c>
      <c r="H695" s="3" t="s">
        <v>1412</v>
      </c>
      <c r="I695" s="4" t="s">
        <v>1382</v>
      </c>
      <c r="J695" s="7" t="n">
        <f aca="false">LEN(E695)-SUMPRODUCT(LEN(E695)-LEN(SUBSTITUTE(E695,{"，","。","？","！","、","…","；","：","《","》"," ","“","”","—","（","）","·"},"")))</f>
        <v>23</v>
      </c>
      <c r="K695" s="23"/>
    </row>
    <row r="696" customFormat="false" ht="36" hidden="false" customHeight="true" outlineLevel="0" collapsed="false">
      <c r="A696" s="7" t="s">
        <v>164</v>
      </c>
      <c r="B696" s="15" t="n">
        <v>5</v>
      </c>
      <c r="C696" s="7" t="n">
        <v>37</v>
      </c>
      <c r="D696" s="22" t="s">
        <v>481</v>
      </c>
      <c r="E696" s="4" t="s">
        <v>1457</v>
      </c>
      <c r="F696" s="23"/>
      <c r="G696" s="22" t="s">
        <v>30</v>
      </c>
      <c r="H696" s="3"/>
      <c r="I696" s="4" t="s">
        <v>1458</v>
      </c>
      <c r="J696" s="7" t="n">
        <f aca="false">LEN(E696)-SUMPRODUCT(LEN(E696)-LEN(SUBSTITUTE(E696,{"，","。","？","！","、","…","；","：","《","》"," ","“","”","—","（","）","·"},"")))</f>
        <v>25</v>
      </c>
      <c r="K696" s="23"/>
    </row>
    <row r="697" customFormat="false" ht="36" hidden="false" customHeight="true" outlineLevel="0" collapsed="false">
      <c r="A697" s="7" t="s">
        <v>164</v>
      </c>
      <c r="B697" s="15" t="n">
        <v>5</v>
      </c>
      <c r="C697" s="7" t="n">
        <v>38</v>
      </c>
      <c r="D697" s="22" t="s">
        <v>219</v>
      </c>
      <c r="E697" s="4" t="s">
        <v>1459</v>
      </c>
      <c r="F697" s="23"/>
      <c r="G697" s="22" t="s">
        <v>42</v>
      </c>
      <c r="H697" s="3"/>
      <c r="I697" s="4" t="s">
        <v>295</v>
      </c>
      <c r="J697" s="7" t="n">
        <f aca="false">LEN(E697)-SUMPRODUCT(LEN(E697)-LEN(SUBSTITUTE(E697,{"，","。","？","！","、","…","；","：","《","》"," ","“","”","—","（","）","·"},"")))</f>
        <v>22</v>
      </c>
      <c r="K697" s="23"/>
    </row>
    <row r="698" customFormat="false" ht="21" hidden="false" customHeight="true" outlineLevel="0" collapsed="false">
      <c r="A698" s="7" t="s">
        <v>164</v>
      </c>
      <c r="B698" s="15" t="n">
        <v>5</v>
      </c>
      <c r="C698" s="7" t="n">
        <v>39</v>
      </c>
      <c r="D698" s="22" t="s">
        <v>222</v>
      </c>
      <c r="E698" s="4" t="s">
        <v>1460</v>
      </c>
      <c r="F698" s="23"/>
      <c r="G698" s="22" t="s">
        <v>42</v>
      </c>
      <c r="H698" s="3"/>
      <c r="I698" s="4" t="s">
        <v>1461</v>
      </c>
      <c r="J698" s="7" t="n">
        <f aca="false">LEN(E698)-SUMPRODUCT(LEN(E698)-LEN(SUBSTITUTE(E698,{"，","。","？","！","、","…","；","：","《","》"," ","“","”","—","（","）","·"},"")))</f>
        <v>15</v>
      </c>
      <c r="K698" s="23"/>
    </row>
    <row r="699" customFormat="false" ht="36" hidden="false" customHeight="true" outlineLevel="0" collapsed="false">
      <c r="A699" s="7" t="s">
        <v>164</v>
      </c>
      <c r="B699" s="15" t="n">
        <v>5</v>
      </c>
      <c r="C699" s="7" t="n">
        <v>40</v>
      </c>
      <c r="D699" s="22" t="s">
        <v>219</v>
      </c>
      <c r="E699" s="4" t="s">
        <v>1462</v>
      </c>
      <c r="F699" s="23"/>
      <c r="G699" s="22" t="s">
        <v>30</v>
      </c>
      <c r="H699" s="3" t="s">
        <v>299</v>
      </c>
      <c r="I699" s="4" t="s">
        <v>1463</v>
      </c>
      <c r="J699" s="7" t="n">
        <f aca="false">LEN(E699)-SUMPRODUCT(LEN(E699)-LEN(SUBSTITUTE(E699,{"，","。","？","！","、","…","；","：","《","》"," ","“","”","—","（","）","·"},"")))</f>
        <v>24</v>
      </c>
      <c r="K699" s="23"/>
    </row>
    <row r="700" customFormat="false" ht="36" hidden="false" customHeight="true" outlineLevel="0" collapsed="false">
      <c r="A700" s="7" t="s">
        <v>164</v>
      </c>
      <c r="B700" s="15" t="n">
        <v>5</v>
      </c>
      <c r="C700" s="7" t="n">
        <v>41</v>
      </c>
      <c r="D700" s="22" t="s">
        <v>232</v>
      </c>
      <c r="E700" s="4" t="s">
        <v>1464</v>
      </c>
      <c r="F700" s="23" t="s">
        <v>1465</v>
      </c>
      <c r="G700" s="22" t="s">
        <v>30</v>
      </c>
      <c r="H700" s="3"/>
      <c r="I700" s="4" t="s">
        <v>1466</v>
      </c>
      <c r="J700" s="7" t="n">
        <f aca="false">LEN(E700)-SUMPRODUCT(LEN(E700)-LEN(SUBSTITUTE(E700,{"，","。","？","！","、","…","；","：","《","》"," ","“","”","—","（","）","·"},"")))</f>
        <v>10</v>
      </c>
      <c r="K700" s="23"/>
    </row>
    <row r="701" customFormat="false" ht="21" hidden="false" customHeight="true" outlineLevel="0" collapsed="false">
      <c r="A701" s="7" t="s">
        <v>164</v>
      </c>
      <c r="B701" s="15" t="n">
        <v>5</v>
      </c>
      <c r="C701" s="7" t="n">
        <v>42</v>
      </c>
      <c r="D701" s="22" t="s">
        <v>481</v>
      </c>
      <c r="E701" s="4" t="s">
        <v>1467</v>
      </c>
      <c r="F701" s="23" t="s">
        <v>245</v>
      </c>
      <c r="G701" s="22" t="s">
        <v>42</v>
      </c>
      <c r="H701" s="3"/>
      <c r="I701" s="3"/>
      <c r="J701" s="7" t="n">
        <f aca="false">LEN(E701)-SUMPRODUCT(LEN(E701)-LEN(SUBSTITUTE(E701,{"，","。","？","！","、","…","；","：","《","》"," ","“","”","—","（","）","·"},"")))</f>
        <v>7</v>
      </c>
      <c r="K701" s="23"/>
    </row>
    <row r="702" customFormat="false" ht="36" hidden="false" customHeight="true" outlineLevel="0" collapsed="false">
      <c r="A702" s="7" t="s">
        <v>168</v>
      </c>
      <c r="B702" s="15" t="n">
        <v>6</v>
      </c>
      <c r="C702" s="7" t="n">
        <v>1</v>
      </c>
      <c r="D702" s="22" t="s">
        <v>219</v>
      </c>
      <c r="E702" s="4" t="s">
        <v>1468</v>
      </c>
      <c r="F702" s="23" t="s">
        <v>1469</v>
      </c>
      <c r="G702" s="22" t="s">
        <v>40</v>
      </c>
      <c r="H702" s="3"/>
      <c r="I702" s="3"/>
      <c r="J702" s="7" t="n">
        <f aca="false">LEN(E702)-SUMPRODUCT(LEN(E702)-LEN(SUBSTITUTE(E702,{"，","。","？","！","、","…","；","：","《","》"," ","“","”","—","（","）","·"},"")))</f>
        <v>19</v>
      </c>
      <c r="K702" s="23"/>
    </row>
    <row r="703" customFormat="false" ht="21" hidden="false" customHeight="true" outlineLevel="0" collapsed="false">
      <c r="A703" s="7" t="s">
        <v>168</v>
      </c>
      <c r="B703" s="15" t="n">
        <v>6</v>
      </c>
      <c r="C703" s="7" t="n">
        <v>2</v>
      </c>
      <c r="D703" s="22" t="s">
        <v>222</v>
      </c>
      <c r="E703" s="4" t="s">
        <v>1470</v>
      </c>
      <c r="F703" s="23"/>
      <c r="G703" s="22" t="s">
        <v>42</v>
      </c>
      <c r="H703" s="3" t="s">
        <v>1471</v>
      </c>
      <c r="I703" s="4" t="s">
        <v>1472</v>
      </c>
      <c r="J703" s="7" t="n">
        <f aca="false">LEN(E703)-SUMPRODUCT(LEN(E703)-LEN(SUBSTITUTE(E703,{"，","。","？","！","、","…","；","：","《","》"," ","“","”","—","（","）","·"},"")))</f>
        <v>12</v>
      </c>
      <c r="K703" s="23"/>
    </row>
    <row r="704" customFormat="false" ht="36" hidden="false" customHeight="true" outlineLevel="0" collapsed="false">
      <c r="A704" s="7" t="s">
        <v>168</v>
      </c>
      <c r="B704" s="15" t="n">
        <v>6</v>
      </c>
      <c r="C704" s="7" t="n">
        <v>3</v>
      </c>
      <c r="D704" s="22" t="s">
        <v>219</v>
      </c>
      <c r="E704" s="4" t="s">
        <v>1473</v>
      </c>
      <c r="F704" s="23"/>
      <c r="G704" s="22" t="s">
        <v>30</v>
      </c>
      <c r="H704" s="3" t="s">
        <v>1474</v>
      </c>
      <c r="I704" s="4" t="s">
        <v>1475</v>
      </c>
      <c r="J704" s="7" t="n">
        <f aca="false">LEN(E704)-SUMPRODUCT(LEN(E704)-LEN(SUBSTITUTE(E704,{"，","。","？","！","、","…","；","：","《","》"," ","“","”","—","（","）","·"},"")))</f>
        <v>26</v>
      </c>
      <c r="K704" s="23"/>
    </row>
    <row r="705" customFormat="false" ht="36" hidden="false" customHeight="true" outlineLevel="0" collapsed="false">
      <c r="A705" s="7" t="s">
        <v>168</v>
      </c>
      <c r="B705" s="15" t="n">
        <v>6</v>
      </c>
      <c r="C705" s="7" t="n">
        <v>4</v>
      </c>
      <c r="D705" s="22" t="s">
        <v>219</v>
      </c>
      <c r="E705" s="4" t="s">
        <v>1476</v>
      </c>
      <c r="F705" s="23"/>
      <c r="G705" s="22" t="s">
        <v>38</v>
      </c>
      <c r="H705" s="3"/>
      <c r="I705" s="3"/>
      <c r="J705" s="7" t="n">
        <f aca="false">LEN(E705)-SUMPRODUCT(LEN(E705)-LEN(SUBSTITUTE(E705,{"，","。","？","！","、","…","；","：","《","》"," ","“","”","—","（","）","·"},"")))</f>
        <v>22</v>
      </c>
      <c r="K705" s="23"/>
    </row>
    <row r="706" customFormat="false" ht="36" hidden="false" customHeight="true" outlineLevel="0" collapsed="false">
      <c r="A706" s="7" t="s">
        <v>168</v>
      </c>
      <c r="B706" s="15" t="n">
        <v>6</v>
      </c>
      <c r="C706" s="7" t="n">
        <v>5</v>
      </c>
      <c r="D706" s="22" t="s">
        <v>232</v>
      </c>
      <c r="E706" s="4" t="s">
        <v>1477</v>
      </c>
      <c r="F706" s="23"/>
      <c r="G706" s="22" t="s">
        <v>30</v>
      </c>
      <c r="H706" s="3"/>
      <c r="I706" s="3"/>
      <c r="J706" s="7" t="n">
        <f aca="false">LEN(E706)-SUMPRODUCT(LEN(E706)-LEN(SUBSTITUTE(E706,{"，","。","？","！","、","…","；","：","《","》"," ","“","”","—","（","）","·"},"")))</f>
        <v>22</v>
      </c>
      <c r="K706" s="23"/>
    </row>
    <row r="707" customFormat="false" ht="36" hidden="false" customHeight="true" outlineLevel="0" collapsed="false">
      <c r="A707" s="7" t="s">
        <v>168</v>
      </c>
      <c r="B707" s="15" t="n">
        <v>6</v>
      </c>
      <c r="C707" s="7" t="n">
        <v>6</v>
      </c>
      <c r="D707" s="22" t="s">
        <v>219</v>
      </c>
      <c r="E707" s="4" t="s">
        <v>1478</v>
      </c>
      <c r="F707" s="23"/>
      <c r="G707" s="22" t="s">
        <v>38</v>
      </c>
      <c r="H707" s="3" t="s">
        <v>1471</v>
      </c>
      <c r="I707" s="3"/>
      <c r="J707" s="7" t="n">
        <f aca="false">LEN(E707)-SUMPRODUCT(LEN(E707)-LEN(SUBSTITUTE(E707,{"，","。","？","！","、","…","；","：","《","》"," ","“","”","—","（","）","·"},"")))</f>
        <v>30</v>
      </c>
      <c r="K707" s="23"/>
    </row>
    <row r="708" customFormat="false" ht="36" hidden="false" customHeight="true" outlineLevel="0" collapsed="false">
      <c r="A708" s="7" t="s">
        <v>168</v>
      </c>
      <c r="B708" s="15" t="n">
        <v>6</v>
      </c>
      <c r="C708" s="7" t="n">
        <v>7</v>
      </c>
      <c r="D708" s="22" t="s">
        <v>219</v>
      </c>
      <c r="E708" s="4" t="s">
        <v>1479</v>
      </c>
      <c r="F708" s="23"/>
      <c r="G708" s="22" t="s">
        <v>38</v>
      </c>
      <c r="H708" s="3" t="s">
        <v>1480</v>
      </c>
      <c r="I708" s="3"/>
      <c r="J708" s="7" t="n">
        <f aca="false">LEN(E708)-SUMPRODUCT(LEN(E708)-LEN(SUBSTITUTE(E708,{"，","。","？","！","、","…","；","：","《","》"," ","“","”","—","（","）","·"},"")))</f>
        <v>25</v>
      </c>
      <c r="K708" s="23"/>
    </row>
    <row r="709" customFormat="false" ht="36" hidden="false" customHeight="true" outlineLevel="0" collapsed="false">
      <c r="A709" s="7" t="s">
        <v>168</v>
      </c>
      <c r="B709" s="15" t="n">
        <v>6</v>
      </c>
      <c r="C709" s="7" t="n">
        <v>8</v>
      </c>
      <c r="D709" s="22" t="s">
        <v>219</v>
      </c>
      <c r="E709" s="4" t="s">
        <v>1481</v>
      </c>
      <c r="F709" s="23"/>
      <c r="G709" s="22" t="s">
        <v>38</v>
      </c>
      <c r="H709" s="3"/>
      <c r="I709" s="4" t="s">
        <v>240</v>
      </c>
      <c r="J709" s="7" t="n">
        <f aca="false">LEN(E709)-SUMPRODUCT(LEN(E709)-LEN(SUBSTITUTE(E709,{"，","。","？","！","、","…","；","：","《","》"," ","“","”","—","（","）","·"},"")))</f>
        <v>30</v>
      </c>
      <c r="K709" s="23"/>
    </row>
    <row r="710" customFormat="false" ht="36" hidden="false" customHeight="true" outlineLevel="0" collapsed="false">
      <c r="A710" s="7" t="s">
        <v>168</v>
      </c>
      <c r="B710" s="15" t="n">
        <v>6</v>
      </c>
      <c r="C710" s="7" t="n">
        <v>9</v>
      </c>
      <c r="D710" s="22" t="s">
        <v>222</v>
      </c>
      <c r="E710" s="4" t="s">
        <v>1482</v>
      </c>
      <c r="F710" s="23" t="s">
        <v>234</v>
      </c>
      <c r="G710" s="22" t="s">
        <v>34</v>
      </c>
      <c r="H710" s="3"/>
      <c r="I710" s="4" t="s">
        <v>1483</v>
      </c>
      <c r="J710" s="7" t="n">
        <f aca="false">LEN(E710)-SUMPRODUCT(LEN(E710)-LEN(SUBSTITUTE(E710,{"，","。","？","！","、","…","；","：","《","》"," ","“","”","—","（","）","·"},"")))</f>
        <v>21</v>
      </c>
      <c r="K710" s="23"/>
    </row>
    <row r="711" customFormat="false" ht="36" hidden="false" customHeight="true" outlineLevel="0" collapsed="false">
      <c r="A711" s="7" t="s">
        <v>168</v>
      </c>
      <c r="B711" s="15" t="n">
        <v>6</v>
      </c>
      <c r="C711" s="7" t="n">
        <v>10</v>
      </c>
      <c r="D711" s="22" t="s">
        <v>219</v>
      </c>
      <c r="E711" s="4" t="s">
        <v>1484</v>
      </c>
      <c r="F711" s="23" t="s">
        <v>1372</v>
      </c>
      <c r="G711" s="22" t="s">
        <v>34</v>
      </c>
      <c r="H711" s="3"/>
      <c r="I711" s="4" t="s">
        <v>240</v>
      </c>
      <c r="J711" s="7" t="n">
        <f aca="false">LEN(E711)-SUMPRODUCT(LEN(E711)-LEN(SUBSTITUTE(E711,{"，","。","？","！","、","…","；","：","《","》"," ","“","”","—","（","）","·"},"")))</f>
        <v>20</v>
      </c>
      <c r="K711" s="23"/>
    </row>
    <row r="712" customFormat="false" ht="36" hidden="false" customHeight="true" outlineLevel="0" collapsed="false">
      <c r="A712" s="7" t="s">
        <v>168</v>
      </c>
      <c r="B712" s="15" t="n">
        <v>6</v>
      </c>
      <c r="C712" s="7" t="n">
        <v>11</v>
      </c>
      <c r="D712" s="22" t="s">
        <v>219</v>
      </c>
      <c r="E712" s="4" t="s">
        <v>1485</v>
      </c>
      <c r="F712" s="23"/>
      <c r="G712" s="22" t="s">
        <v>38</v>
      </c>
      <c r="H712" s="3"/>
      <c r="I712" s="3"/>
      <c r="J712" s="7" t="n">
        <f aca="false">LEN(E712)-SUMPRODUCT(LEN(E712)-LEN(SUBSTITUTE(E712,{"，","。","？","！","、","…","；","：","《","》"," ","“","”","—","（","）","·"},"")))</f>
        <v>30</v>
      </c>
      <c r="K712" s="23"/>
    </row>
    <row r="713" customFormat="false" ht="21" hidden="false" customHeight="true" outlineLevel="0" collapsed="false">
      <c r="A713" s="7" t="s">
        <v>168</v>
      </c>
      <c r="B713" s="15" t="n">
        <v>6</v>
      </c>
      <c r="C713" s="7" t="n">
        <v>12</v>
      </c>
      <c r="D713" s="22" t="s">
        <v>232</v>
      </c>
      <c r="E713" s="4" t="s">
        <v>1486</v>
      </c>
      <c r="F713" s="23"/>
      <c r="G713" s="22" t="s">
        <v>32</v>
      </c>
      <c r="H713" s="3"/>
      <c r="I713" s="4" t="s">
        <v>240</v>
      </c>
      <c r="J713" s="7" t="n">
        <f aca="false">LEN(E713)-SUMPRODUCT(LEN(E713)-LEN(SUBSTITUTE(E713,{"，","。","？","！","、","…","；","：","《","》"," ","“","”","—","（","）","·"},"")))</f>
        <v>19</v>
      </c>
      <c r="K713" s="23"/>
    </row>
    <row r="714" customFormat="false" ht="36" hidden="false" customHeight="true" outlineLevel="0" collapsed="false">
      <c r="A714" s="7" t="s">
        <v>168</v>
      </c>
      <c r="B714" s="15" t="n">
        <v>6</v>
      </c>
      <c r="C714" s="7" t="n">
        <v>13</v>
      </c>
      <c r="D714" s="22" t="s">
        <v>219</v>
      </c>
      <c r="E714" s="4" t="s">
        <v>1487</v>
      </c>
      <c r="F714" s="23"/>
      <c r="G714" s="22" t="s">
        <v>32</v>
      </c>
      <c r="H714" s="3" t="s">
        <v>1488</v>
      </c>
      <c r="I714" s="3"/>
      <c r="J714" s="7" t="n">
        <f aca="false">LEN(E714)-SUMPRODUCT(LEN(E714)-LEN(SUBSTITUTE(E714,{"，","。","？","！","、","…","；","：","《","》"," ","“","”","—","（","）","·"},"")))</f>
        <v>30</v>
      </c>
      <c r="K714" s="23"/>
    </row>
    <row r="715" customFormat="false" ht="36" hidden="false" customHeight="true" outlineLevel="0" collapsed="false">
      <c r="A715" s="7" t="s">
        <v>168</v>
      </c>
      <c r="B715" s="15" t="n">
        <v>6</v>
      </c>
      <c r="C715" s="7" t="n">
        <v>14</v>
      </c>
      <c r="D715" s="22" t="s">
        <v>219</v>
      </c>
      <c r="E715" s="4" t="s">
        <v>1489</v>
      </c>
      <c r="F715" s="23"/>
      <c r="G715" s="22" t="s">
        <v>38</v>
      </c>
      <c r="H715" s="3"/>
      <c r="I715" s="3"/>
      <c r="J715" s="7" t="n">
        <f aca="false">LEN(E715)-SUMPRODUCT(LEN(E715)-LEN(SUBSTITUTE(E715,{"，","。","？","！","、","…","；","：","《","》"," ","“","”","—","（","）","·"},"")))</f>
        <v>27</v>
      </c>
      <c r="K715" s="23"/>
    </row>
    <row r="716" customFormat="false" ht="36" hidden="false" customHeight="true" outlineLevel="0" collapsed="false">
      <c r="A716" s="7" t="s">
        <v>168</v>
      </c>
      <c r="B716" s="15" t="n">
        <v>6</v>
      </c>
      <c r="C716" s="7" t="n">
        <v>15</v>
      </c>
      <c r="D716" s="22" t="s">
        <v>472</v>
      </c>
      <c r="E716" s="4" t="s">
        <v>1490</v>
      </c>
      <c r="F716" s="23" t="s">
        <v>1491</v>
      </c>
      <c r="G716" s="22" t="s">
        <v>30</v>
      </c>
      <c r="H716" s="3" t="s">
        <v>1492</v>
      </c>
      <c r="I716" s="4" t="s">
        <v>1493</v>
      </c>
      <c r="J716" s="7" t="n">
        <f aca="false">LEN(E716)-SUMPRODUCT(LEN(E716)-LEN(SUBSTITUTE(E716,{"，","。","？","！","、","…","；","：","《","》"," ","“","”","—","（","）","·"},"")))</f>
        <v>29</v>
      </c>
      <c r="K716" s="23"/>
    </row>
    <row r="717" customFormat="false" ht="36" hidden="false" customHeight="true" outlineLevel="0" collapsed="false">
      <c r="A717" s="7" t="s">
        <v>168</v>
      </c>
      <c r="B717" s="15" t="n">
        <v>6</v>
      </c>
      <c r="C717" s="7" t="n">
        <v>16</v>
      </c>
      <c r="D717" s="22" t="s">
        <v>472</v>
      </c>
      <c r="E717" s="4" t="s">
        <v>1494</v>
      </c>
      <c r="F717" s="23"/>
      <c r="G717" s="22" t="s">
        <v>30</v>
      </c>
      <c r="H717" s="3"/>
      <c r="I717" s="4" t="s">
        <v>1495</v>
      </c>
      <c r="J717" s="7" t="n">
        <f aca="false">LEN(E717)-SUMPRODUCT(LEN(E717)-LEN(SUBSTITUTE(E717,{"，","。","？","！","、","…","；","：","《","》"," ","“","”","—","（","）","·"},"")))</f>
        <v>22</v>
      </c>
      <c r="K717" s="23"/>
    </row>
    <row r="718" customFormat="false" ht="36" hidden="false" customHeight="true" outlineLevel="0" collapsed="false">
      <c r="A718" s="7" t="s">
        <v>168</v>
      </c>
      <c r="B718" s="15" t="n">
        <v>6</v>
      </c>
      <c r="C718" s="7" t="n">
        <v>17</v>
      </c>
      <c r="D718" s="22" t="s">
        <v>222</v>
      </c>
      <c r="E718" s="4" t="s">
        <v>1496</v>
      </c>
      <c r="F718" s="23"/>
      <c r="G718" s="22" t="s">
        <v>30</v>
      </c>
      <c r="H718" s="3"/>
      <c r="I718" s="3"/>
      <c r="J718" s="7" t="n">
        <f aca="false">LEN(E718)-SUMPRODUCT(LEN(E718)-LEN(SUBSTITUTE(E718,{"，","。","？","！","、","…","；","：","《","》"," ","“","”","—","（","）","·"},"")))</f>
        <v>13</v>
      </c>
      <c r="K718" s="23"/>
    </row>
    <row r="719" customFormat="false" ht="36" hidden="false" customHeight="true" outlineLevel="0" collapsed="false">
      <c r="A719" s="7" t="s">
        <v>168</v>
      </c>
      <c r="B719" s="15" t="n">
        <v>6</v>
      </c>
      <c r="C719" s="7" t="n">
        <v>18</v>
      </c>
      <c r="D719" s="22" t="s">
        <v>472</v>
      </c>
      <c r="E719" s="4" t="s">
        <v>1497</v>
      </c>
      <c r="F719" s="23"/>
      <c r="G719" s="22" t="s">
        <v>32</v>
      </c>
      <c r="H719" s="3" t="s">
        <v>1498</v>
      </c>
      <c r="I719" s="3"/>
      <c r="J719" s="7" t="n">
        <f aca="false">LEN(E719)-SUMPRODUCT(LEN(E719)-LEN(SUBSTITUTE(E719,{"，","。","？","！","、","…","；","：","《","》"," ","“","”","—","（","）","·"},"")))</f>
        <v>22</v>
      </c>
      <c r="K719" s="23"/>
    </row>
    <row r="720" customFormat="false" ht="36" hidden="false" customHeight="true" outlineLevel="0" collapsed="false">
      <c r="A720" s="7" t="s">
        <v>168</v>
      </c>
      <c r="B720" s="15" t="n">
        <v>6</v>
      </c>
      <c r="C720" s="7" t="n">
        <v>19</v>
      </c>
      <c r="D720" s="22" t="s">
        <v>222</v>
      </c>
      <c r="E720" s="4" t="s">
        <v>1499</v>
      </c>
      <c r="F720" s="23" t="s">
        <v>380</v>
      </c>
      <c r="G720" s="22" t="s">
        <v>30</v>
      </c>
      <c r="H720" s="3"/>
      <c r="I720" s="3"/>
      <c r="J720" s="7" t="n">
        <f aca="false">LEN(E720)-SUMPRODUCT(LEN(E720)-LEN(SUBSTITUTE(E720,{"，","。","？","！","、","…","；","：","《","》"," ","“","”","—","（","）","·"},"")))</f>
        <v>22</v>
      </c>
      <c r="K720" s="23"/>
    </row>
    <row r="721" customFormat="false" ht="36" hidden="false" customHeight="true" outlineLevel="0" collapsed="false">
      <c r="A721" s="7" t="s">
        <v>168</v>
      </c>
      <c r="B721" s="15" t="n">
        <v>6</v>
      </c>
      <c r="C721" s="7" t="n">
        <v>20</v>
      </c>
      <c r="D721" s="22" t="s">
        <v>232</v>
      </c>
      <c r="E721" s="4" t="s">
        <v>1500</v>
      </c>
      <c r="F721" s="23" t="s">
        <v>777</v>
      </c>
      <c r="G721" s="22" t="s">
        <v>30</v>
      </c>
      <c r="H721" s="3"/>
      <c r="I721" s="3"/>
      <c r="J721" s="7" t="n">
        <f aca="false">LEN(E721)-SUMPRODUCT(LEN(E721)-LEN(SUBSTITUTE(E721,{"，","。","？","！","、","…","；","：","《","》"," ","“","”","—","（","）","·"},"")))</f>
        <v>25</v>
      </c>
      <c r="K721" s="23"/>
    </row>
    <row r="722" customFormat="false" ht="36" hidden="false" customHeight="true" outlineLevel="0" collapsed="false">
      <c r="A722" s="7" t="s">
        <v>168</v>
      </c>
      <c r="B722" s="15" t="n">
        <v>6</v>
      </c>
      <c r="C722" s="7" t="n">
        <v>21</v>
      </c>
      <c r="D722" s="22" t="s">
        <v>222</v>
      </c>
      <c r="E722" s="4" t="s">
        <v>1501</v>
      </c>
      <c r="F722" s="23"/>
      <c r="G722" s="22" t="s">
        <v>34</v>
      </c>
      <c r="H722" s="3"/>
      <c r="I722" s="3"/>
      <c r="J722" s="7" t="n">
        <f aca="false">LEN(E722)-SUMPRODUCT(LEN(E722)-LEN(SUBSTITUTE(E722,{"，","。","？","！","、","…","；","：","《","》"," ","“","”","—","（","）","·"},"")))</f>
        <v>24</v>
      </c>
      <c r="K722" s="23"/>
    </row>
    <row r="723" customFormat="false" ht="36" hidden="false" customHeight="true" outlineLevel="0" collapsed="false">
      <c r="A723" s="7" t="s">
        <v>168</v>
      </c>
      <c r="B723" s="15" t="n">
        <v>6</v>
      </c>
      <c r="C723" s="7" t="n">
        <v>22</v>
      </c>
      <c r="D723" s="22" t="s">
        <v>232</v>
      </c>
      <c r="E723" s="4" t="s">
        <v>1502</v>
      </c>
      <c r="F723" s="23"/>
      <c r="G723" s="22" t="s">
        <v>30</v>
      </c>
      <c r="H723" s="3"/>
      <c r="I723" s="3"/>
      <c r="J723" s="7" t="n">
        <f aca="false">LEN(E723)-SUMPRODUCT(LEN(E723)-LEN(SUBSTITUTE(E723,{"，","。","？","！","、","…","；","：","《","》"," ","“","”","—","（","）","·"},"")))</f>
        <v>23</v>
      </c>
      <c r="K723" s="23"/>
    </row>
    <row r="724" customFormat="false" ht="36" hidden="false" customHeight="true" outlineLevel="0" collapsed="false">
      <c r="A724" s="7" t="s">
        <v>168</v>
      </c>
      <c r="B724" s="15" t="n">
        <v>6</v>
      </c>
      <c r="C724" s="7" t="n">
        <v>23</v>
      </c>
      <c r="D724" s="22" t="s">
        <v>219</v>
      </c>
      <c r="E724" s="4" t="s">
        <v>1503</v>
      </c>
      <c r="F724" s="23" t="s">
        <v>1504</v>
      </c>
      <c r="G724" s="22" t="s">
        <v>38</v>
      </c>
      <c r="H724" s="3"/>
      <c r="I724" s="3"/>
      <c r="J724" s="7" t="n">
        <f aca="false">LEN(E724)-SUMPRODUCT(LEN(E724)-LEN(SUBSTITUTE(E724,{"，","。","？","！","、","…","；","：","《","》"," ","“","”","—","（","）","·"},"")))</f>
        <v>32</v>
      </c>
      <c r="K724" s="23"/>
    </row>
    <row r="725" customFormat="false" ht="36" hidden="false" customHeight="true" outlineLevel="0" collapsed="false">
      <c r="A725" s="7" t="s">
        <v>168</v>
      </c>
      <c r="B725" s="15" t="n">
        <v>6</v>
      </c>
      <c r="C725" s="7" t="n">
        <v>24</v>
      </c>
      <c r="D725" s="22" t="s">
        <v>222</v>
      </c>
      <c r="E725" s="4" t="s">
        <v>1505</v>
      </c>
      <c r="F725" s="23"/>
      <c r="G725" s="22" t="s">
        <v>30</v>
      </c>
      <c r="H725" s="3"/>
      <c r="I725" s="4" t="s">
        <v>1506</v>
      </c>
      <c r="J725" s="7" t="n">
        <f aca="false">LEN(E725)-SUMPRODUCT(LEN(E725)-LEN(SUBSTITUTE(E725,{"，","。","？","！","、","…","；","：","《","》"," ","“","”","—","（","）","·"},"")))</f>
        <v>17</v>
      </c>
      <c r="K725" s="23"/>
    </row>
    <row r="726" customFormat="false" ht="21" hidden="false" customHeight="true" outlineLevel="0" collapsed="false">
      <c r="A726" s="7" t="s">
        <v>168</v>
      </c>
      <c r="B726" s="15" t="n">
        <v>6</v>
      </c>
      <c r="C726" s="7" t="n">
        <v>25</v>
      </c>
      <c r="D726" s="22" t="s">
        <v>472</v>
      </c>
      <c r="E726" s="4" t="s">
        <v>1507</v>
      </c>
      <c r="F726" s="23"/>
      <c r="G726" s="22" t="s">
        <v>32</v>
      </c>
      <c r="H726" s="3" t="s">
        <v>1188</v>
      </c>
      <c r="I726" s="3"/>
      <c r="J726" s="7" t="n">
        <f aca="false">LEN(E726)-SUMPRODUCT(LEN(E726)-LEN(SUBSTITUTE(E726,{"，","。","？","！","、","…","；","：","《","》"," ","“","”","—","（","）","·"},"")))</f>
        <v>19</v>
      </c>
      <c r="K726" s="23"/>
    </row>
    <row r="727" customFormat="false" ht="36" hidden="false" customHeight="true" outlineLevel="0" collapsed="false">
      <c r="A727" s="7" t="s">
        <v>168</v>
      </c>
      <c r="B727" s="15" t="n">
        <v>6</v>
      </c>
      <c r="C727" s="7" t="n">
        <v>26</v>
      </c>
      <c r="D727" s="22" t="s">
        <v>219</v>
      </c>
      <c r="E727" s="4" t="s">
        <v>1508</v>
      </c>
      <c r="F727" s="23"/>
      <c r="G727" s="22" t="s">
        <v>38</v>
      </c>
      <c r="H727" s="3" t="s">
        <v>401</v>
      </c>
      <c r="I727" s="3"/>
      <c r="J727" s="7" t="n">
        <f aca="false">LEN(E727)-SUMPRODUCT(LEN(E727)-LEN(SUBSTITUTE(E727,{"，","。","？","！","、","…","；","：","《","》"," ","“","”","—","（","）","·"},"")))</f>
        <v>28</v>
      </c>
      <c r="K727" s="23"/>
    </row>
    <row r="728" customFormat="false" ht="36" hidden="false" customHeight="true" outlineLevel="0" collapsed="false">
      <c r="A728" s="7" t="s">
        <v>168</v>
      </c>
      <c r="B728" s="15" t="n">
        <v>6</v>
      </c>
      <c r="C728" s="7" t="n">
        <v>27</v>
      </c>
      <c r="D728" s="22" t="s">
        <v>232</v>
      </c>
      <c r="E728" s="4" t="s">
        <v>1509</v>
      </c>
      <c r="F728" s="23"/>
      <c r="G728" s="22" t="s">
        <v>34</v>
      </c>
      <c r="H728" s="3"/>
      <c r="I728" s="4" t="s">
        <v>1483</v>
      </c>
      <c r="J728" s="7" t="n">
        <f aca="false">LEN(E728)-SUMPRODUCT(LEN(E728)-LEN(SUBSTITUTE(E728,{"，","。","？","！","、","…","；","：","《","》"," ","“","”","—","（","）","·"},"")))</f>
        <v>27</v>
      </c>
      <c r="K728" s="23"/>
    </row>
    <row r="729" customFormat="false" ht="36" hidden="false" customHeight="true" outlineLevel="0" collapsed="false">
      <c r="A729" s="7" t="s">
        <v>168</v>
      </c>
      <c r="B729" s="15" t="n">
        <v>6</v>
      </c>
      <c r="C729" s="7" t="n">
        <v>28</v>
      </c>
      <c r="D729" s="22" t="s">
        <v>219</v>
      </c>
      <c r="E729" s="4" t="s">
        <v>1510</v>
      </c>
      <c r="F729" s="23"/>
      <c r="G729" s="22" t="s">
        <v>38</v>
      </c>
      <c r="H729" s="3"/>
      <c r="I729" s="3"/>
      <c r="J729" s="7" t="n">
        <f aca="false">LEN(E729)-SUMPRODUCT(LEN(E729)-LEN(SUBSTITUTE(E729,{"，","。","？","！","、","…","；","：","《","》"," ","“","”","—","（","）","·"},"")))</f>
        <v>27</v>
      </c>
      <c r="K729" s="23"/>
    </row>
    <row r="730" customFormat="false" ht="36" hidden="false" customHeight="true" outlineLevel="0" collapsed="false">
      <c r="A730" s="7" t="s">
        <v>168</v>
      </c>
      <c r="B730" s="15" t="n">
        <v>6</v>
      </c>
      <c r="C730" s="7" t="n">
        <v>29</v>
      </c>
      <c r="D730" s="22" t="s">
        <v>219</v>
      </c>
      <c r="E730" s="4" t="s">
        <v>1511</v>
      </c>
      <c r="F730" s="23"/>
      <c r="G730" s="22" t="s">
        <v>38</v>
      </c>
      <c r="H730" s="3"/>
      <c r="I730" s="4" t="s">
        <v>1512</v>
      </c>
      <c r="J730" s="7" t="n">
        <f aca="false">LEN(E730)-SUMPRODUCT(LEN(E730)-LEN(SUBSTITUTE(E730,{"，","。","？","！","、","…","；","：","《","》"," ","“","”","—","（","）","·"},"")))</f>
        <v>33</v>
      </c>
      <c r="K730" s="23"/>
    </row>
    <row r="731" customFormat="false" ht="36" hidden="false" customHeight="true" outlineLevel="0" collapsed="false">
      <c r="A731" s="7" t="s">
        <v>168</v>
      </c>
      <c r="B731" s="15" t="n">
        <v>6</v>
      </c>
      <c r="C731" s="7" t="n">
        <v>30</v>
      </c>
      <c r="D731" s="22" t="s">
        <v>232</v>
      </c>
      <c r="E731" s="4" t="s">
        <v>1513</v>
      </c>
      <c r="F731" s="23" t="s">
        <v>1514</v>
      </c>
      <c r="G731" s="22" t="s">
        <v>36</v>
      </c>
      <c r="H731" s="3"/>
      <c r="I731" s="4" t="s">
        <v>1472</v>
      </c>
      <c r="J731" s="7" t="n">
        <f aca="false">LEN(E731)-SUMPRODUCT(LEN(E731)-LEN(SUBSTITUTE(E731,{"，","。","？","！","、","…","；","：","《","》"," ","“","”","—","（","）","·"},"")))</f>
        <v>17</v>
      </c>
      <c r="K731" s="23"/>
    </row>
    <row r="732" customFormat="false" ht="36" hidden="false" customHeight="true" outlineLevel="0" collapsed="false">
      <c r="A732" s="7" t="s">
        <v>168</v>
      </c>
      <c r="B732" s="15" t="n">
        <v>6</v>
      </c>
      <c r="C732" s="7" t="n">
        <v>31</v>
      </c>
      <c r="D732" s="22" t="s">
        <v>219</v>
      </c>
      <c r="E732" s="4" t="s">
        <v>1515</v>
      </c>
      <c r="F732" s="23"/>
      <c r="G732" s="22" t="s">
        <v>36</v>
      </c>
      <c r="H732" s="3"/>
      <c r="I732" s="3"/>
      <c r="J732" s="7" t="n">
        <f aca="false">LEN(E732)-SUMPRODUCT(LEN(E732)-LEN(SUBSTITUTE(E732,{"，","。","？","！","、","…","；","：","《","》"," ","“","”","—","（","）","·"},"")))</f>
        <v>20</v>
      </c>
      <c r="K732" s="23"/>
    </row>
    <row r="733" customFormat="false" ht="36" hidden="false" customHeight="true" outlineLevel="0" collapsed="false">
      <c r="A733" s="7" t="s">
        <v>168</v>
      </c>
      <c r="B733" s="15" t="n">
        <v>6</v>
      </c>
      <c r="C733" s="7" t="n">
        <v>32</v>
      </c>
      <c r="D733" s="22" t="s">
        <v>219</v>
      </c>
      <c r="E733" s="4" t="s">
        <v>1516</v>
      </c>
      <c r="F733" s="23"/>
      <c r="G733" s="22" t="s">
        <v>38</v>
      </c>
      <c r="H733" s="3"/>
      <c r="I733" s="3"/>
      <c r="J733" s="7" t="n">
        <f aca="false">LEN(E733)-SUMPRODUCT(LEN(E733)-LEN(SUBSTITUTE(E733,{"，","。","？","！","、","…","；","：","《","》"," ","“","”","—","（","）","·"},"")))</f>
        <v>30</v>
      </c>
      <c r="K733" s="23"/>
    </row>
    <row r="734" customFormat="false" ht="36" hidden="false" customHeight="true" outlineLevel="0" collapsed="false">
      <c r="A734" s="7" t="s">
        <v>168</v>
      </c>
      <c r="B734" s="15" t="n">
        <v>6</v>
      </c>
      <c r="C734" s="7" t="n">
        <v>33</v>
      </c>
      <c r="D734" s="22" t="s">
        <v>232</v>
      </c>
      <c r="E734" s="4" t="s">
        <v>1517</v>
      </c>
      <c r="F734" s="23"/>
      <c r="G734" s="22" t="s">
        <v>36</v>
      </c>
      <c r="H734" s="3" t="s">
        <v>383</v>
      </c>
      <c r="I734" s="4" t="s">
        <v>1518</v>
      </c>
      <c r="J734" s="7" t="n">
        <f aca="false">LEN(E734)-SUMPRODUCT(LEN(E734)-LEN(SUBSTITUTE(E734,{"，","。","？","！","、","…","；","：","《","》"," ","“","”","—","（","）","·"},"")))</f>
        <v>33</v>
      </c>
      <c r="K734" s="23"/>
    </row>
    <row r="735" customFormat="false" ht="36" hidden="false" customHeight="true" outlineLevel="0" collapsed="false">
      <c r="A735" s="7" t="s">
        <v>168</v>
      </c>
      <c r="B735" s="15" t="n">
        <v>6</v>
      </c>
      <c r="C735" s="7" t="n">
        <v>34</v>
      </c>
      <c r="D735" s="22" t="s">
        <v>219</v>
      </c>
      <c r="E735" s="4" t="s">
        <v>1519</v>
      </c>
      <c r="F735" s="23"/>
      <c r="G735" s="22" t="s">
        <v>38</v>
      </c>
      <c r="H735" s="3" t="s">
        <v>401</v>
      </c>
      <c r="I735" s="3"/>
      <c r="J735" s="7" t="n">
        <f aca="false">LEN(E735)-SUMPRODUCT(LEN(E735)-LEN(SUBSTITUTE(E735,{"，","。","？","！","、","…","；","：","《","》"," ","“","”","—","（","）","·"},"")))</f>
        <v>41</v>
      </c>
      <c r="K735" s="23"/>
    </row>
    <row r="736" customFormat="false" ht="21" hidden="false" customHeight="true" outlineLevel="0" collapsed="false">
      <c r="A736" s="7" t="s">
        <v>168</v>
      </c>
      <c r="B736" s="15" t="n">
        <v>6</v>
      </c>
      <c r="C736" s="7" t="n">
        <v>35</v>
      </c>
      <c r="D736" s="22" t="s">
        <v>222</v>
      </c>
      <c r="E736" s="4" t="s">
        <v>1520</v>
      </c>
      <c r="F736" s="23" t="s">
        <v>1521</v>
      </c>
      <c r="G736" s="22" t="s">
        <v>42</v>
      </c>
      <c r="H736" s="3"/>
      <c r="I736" s="3"/>
      <c r="J736" s="7" t="n">
        <f aca="false">LEN(E736)-SUMPRODUCT(LEN(E736)-LEN(SUBSTITUTE(E736,{"，","。","？","！","、","…","；","：","《","》"," ","“","”","—","（","）","·"},"")))</f>
        <v>18</v>
      </c>
      <c r="K736" s="23"/>
    </row>
    <row r="737" customFormat="false" ht="36" hidden="false" customHeight="true" outlineLevel="0" collapsed="false">
      <c r="A737" s="7" t="s">
        <v>168</v>
      </c>
      <c r="B737" s="15" t="n">
        <v>6</v>
      </c>
      <c r="C737" s="7" t="n">
        <v>36</v>
      </c>
      <c r="D737" s="22" t="s">
        <v>219</v>
      </c>
      <c r="E737" s="4" t="s">
        <v>1522</v>
      </c>
      <c r="F737" s="23"/>
      <c r="G737" s="22" t="s">
        <v>40</v>
      </c>
      <c r="H737" s="3" t="s">
        <v>1523</v>
      </c>
      <c r="I737" s="3"/>
      <c r="J737" s="7" t="n">
        <f aca="false">LEN(E737)-SUMPRODUCT(LEN(E737)-LEN(SUBSTITUTE(E737,{"，","。","？","！","、","…","；","：","《","》"," ","“","”","—","（","）","·"},"")))</f>
        <v>24</v>
      </c>
      <c r="K737" s="23"/>
    </row>
    <row r="738" customFormat="false" ht="36" hidden="false" customHeight="true" outlineLevel="0" collapsed="false">
      <c r="A738" s="7" t="s">
        <v>168</v>
      </c>
      <c r="B738" s="15" t="n">
        <v>6</v>
      </c>
      <c r="C738" s="7" t="n">
        <v>37</v>
      </c>
      <c r="D738" s="22" t="s">
        <v>219</v>
      </c>
      <c r="E738" s="4" t="s">
        <v>1524</v>
      </c>
      <c r="F738" s="23"/>
      <c r="G738" s="22" t="s">
        <v>40</v>
      </c>
      <c r="H738" s="3" t="s">
        <v>783</v>
      </c>
      <c r="I738" s="4" t="s">
        <v>240</v>
      </c>
      <c r="J738" s="7" t="n">
        <f aca="false">LEN(E738)-SUMPRODUCT(LEN(E738)-LEN(SUBSTITUTE(E738,{"，","。","？","！","、","…","；","：","《","》"," ","“","”","—","（","）","·"},"")))</f>
        <v>16</v>
      </c>
      <c r="K738" s="23"/>
    </row>
    <row r="739" customFormat="false" ht="36" hidden="false" customHeight="true" outlineLevel="0" collapsed="false">
      <c r="A739" s="7" t="s">
        <v>168</v>
      </c>
      <c r="B739" s="15" t="n">
        <v>6</v>
      </c>
      <c r="C739" s="7" t="n">
        <v>38</v>
      </c>
      <c r="D739" s="22" t="s">
        <v>219</v>
      </c>
      <c r="E739" s="4" t="s">
        <v>1525</v>
      </c>
      <c r="F739" s="23"/>
      <c r="G739" s="22" t="s">
        <v>40</v>
      </c>
      <c r="H739" s="3"/>
      <c r="I739" s="4" t="s">
        <v>240</v>
      </c>
      <c r="J739" s="7" t="n">
        <f aca="false">LEN(E739)-SUMPRODUCT(LEN(E739)-LEN(SUBSTITUTE(E739,{"，","。","？","！","、","…","；","：","《","》"," ","“","”","—","（","）","·"},"")))</f>
        <v>32</v>
      </c>
      <c r="K739" s="23"/>
    </row>
    <row r="740" customFormat="false" ht="36" hidden="false" customHeight="true" outlineLevel="0" collapsed="false">
      <c r="A740" s="7" t="s">
        <v>168</v>
      </c>
      <c r="B740" s="15" t="n">
        <v>6</v>
      </c>
      <c r="C740" s="7" t="n">
        <v>39</v>
      </c>
      <c r="D740" s="22" t="s">
        <v>219</v>
      </c>
      <c r="E740" s="4" t="s">
        <v>1526</v>
      </c>
      <c r="F740" s="23"/>
      <c r="G740" s="22" t="s">
        <v>40</v>
      </c>
      <c r="H740" s="3"/>
      <c r="I740" s="3"/>
      <c r="J740" s="7" t="n">
        <f aca="false">LEN(E740)-SUMPRODUCT(LEN(E740)-LEN(SUBSTITUTE(E740,{"，","。","？","！","、","…","；","：","《","》"," ","“","”","—","（","）","·"},"")))</f>
        <v>23</v>
      </c>
      <c r="K740" s="23"/>
    </row>
    <row r="741" customFormat="false" ht="21" hidden="false" customHeight="true" outlineLevel="0" collapsed="false">
      <c r="A741" s="7" t="s">
        <v>168</v>
      </c>
      <c r="B741" s="15" t="n">
        <v>6</v>
      </c>
      <c r="C741" s="7" t="n">
        <v>40</v>
      </c>
      <c r="D741" s="22" t="s">
        <v>232</v>
      </c>
      <c r="E741" s="4" t="s">
        <v>1527</v>
      </c>
      <c r="F741" s="23"/>
      <c r="G741" s="22" t="s">
        <v>42</v>
      </c>
      <c r="H741" s="3"/>
      <c r="I741" s="3"/>
      <c r="J741" s="7" t="n">
        <f aca="false">LEN(E741)-SUMPRODUCT(LEN(E741)-LEN(SUBSTITUTE(E741,{"，","。","？","！","、","…","；","：","《","》"," ","“","”","—","（","）","·"},"")))</f>
        <v>9</v>
      </c>
      <c r="K741" s="23"/>
    </row>
    <row r="742" customFormat="false" ht="21" hidden="false" customHeight="true" outlineLevel="0" collapsed="false">
      <c r="A742" s="7" t="s">
        <v>168</v>
      </c>
      <c r="B742" s="15" t="n">
        <v>6</v>
      </c>
      <c r="C742" s="7" t="n">
        <v>41</v>
      </c>
      <c r="D742" s="22" t="s">
        <v>472</v>
      </c>
      <c r="E742" s="4" t="s">
        <v>1528</v>
      </c>
      <c r="F742" s="23" t="s">
        <v>1529</v>
      </c>
      <c r="G742" s="22" t="s">
        <v>42</v>
      </c>
      <c r="H742" s="3"/>
      <c r="I742" s="4" t="s">
        <v>1241</v>
      </c>
      <c r="J742" s="7" t="n">
        <f aca="false">LEN(E742)-SUMPRODUCT(LEN(E742)-LEN(SUBSTITUTE(E742,{"，","。","？","！","、","…","；","：","《","》"," ","“","”","—","（","）","·"},"")))</f>
        <v>15</v>
      </c>
      <c r="K742" s="23"/>
    </row>
    <row r="743" customFormat="false" ht="36" hidden="false" customHeight="true" outlineLevel="0" collapsed="false">
      <c r="A743" s="7" t="s">
        <v>174</v>
      </c>
      <c r="B743" s="15" t="n">
        <v>6</v>
      </c>
      <c r="C743" s="7" t="n">
        <v>1</v>
      </c>
      <c r="D743" s="22" t="s">
        <v>229</v>
      </c>
      <c r="E743" s="4" t="s">
        <v>1530</v>
      </c>
      <c r="F743" s="23"/>
      <c r="G743" s="22" t="s">
        <v>40</v>
      </c>
      <c r="H743" s="3"/>
      <c r="I743" s="4" t="s">
        <v>1472</v>
      </c>
      <c r="J743" s="7" t="n">
        <f aca="false">LEN(E743)-SUMPRODUCT(LEN(E743)-LEN(SUBSTITUTE(E743,{"，","。","？","！","、","…","；","：","《","》"," ","“","”","—","（","）","·"},"")))</f>
        <v>19</v>
      </c>
      <c r="K743" s="23"/>
    </row>
    <row r="744" customFormat="false" ht="36" hidden="false" customHeight="true" outlineLevel="0" collapsed="false">
      <c r="A744" s="7" t="s">
        <v>174</v>
      </c>
      <c r="B744" s="15" t="n">
        <v>6</v>
      </c>
      <c r="C744" s="7" t="n">
        <v>2</v>
      </c>
      <c r="D744" s="22" t="s">
        <v>219</v>
      </c>
      <c r="E744" s="4" t="s">
        <v>1531</v>
      </c>
      <c r="F744" s="23" t="s">
        <v>226</v>
      </c>
      <c r="G744" s="22" t="s">
        <v>40</v>
      </c>
      <c r="H744" s="3"/>
      <c r="I744" s="3"/>
      <c r="J744" s="7" t="n">
        <f aca="false">LEN(E744)-SUMPRODUCT(LEN(E744)-LEN(SUBSTITUTE(E744,{"，","。","？","！","、","…","；","：","《","》"," ","“","”","—","（","）","·"},"")))</f>
        <v>25</v>
      </c>
      <c r="K744" s="23"/>
    </row>
    <row r="745" customFormat="false" ht="36" hidden="false" customHeight="true" outlineLevel="0" collapsed="false">
      <c r="A745" s="7" t="s">
        <v>174</v>
      </c>
      <c r="B745" s="15" t="n">
        <v>6</v>
      </c>
      <c r="C745" s="7" t="n">
        <v>3</v>
      </c>
      <c r="D745" s="22" t="s">
        <v>219</v>
      </c>
      <c r="E745" s="4" t="s">
        <v>1532</v>
      </c>
      <c r="F745" s="23"/>
      <c r="G745" s="22" t="s">
        <v>40</v>
      </c>
      <c r="H745" s="3" t="s">
        <v>1533</v>
      </c>
      <c r="I745" s="4" t="s">
        <v>1534</v>
      </c>
      <c r="J745" s="7" t="n">
        <f aca="false">LEN(E745)-SUMPRODUCT(LEN(E745)-LEN(SUBSTITUTE(E745,{"，","。","？","！","、","…","；","：","《","》"," ","“","”","—","（","）","·"},"")))</f>
        <v>28</v>
      </c>
      <c r="K745" s="23"/>
    </row>
    <row r="746" customFormat="false" ht="21" hidden="false" customHeight="true" outlineLevel="0" collapsed="false">
      <c r="A746" s="7" t="s">
        <v>174</v>
      </c>
      <c r="B746" s="15" t="n">
        <v>6</v>
      </c>
      <c r="C746" s="7" t="n">
        <v>4</v>
      </c>
      <c r="D746" s="22" t="s">
        <v>481</v>
      </c>
      <c r="E746" s="4" t="s">
        <v>1535</v>
      </c>
      <c r="F746" s="23"/>
      <c r="G746" s="22" t="s">
        <v>42</v>
      </c>
      <c r="H746" s="3" t="s">
        <v>1536</v>
      </c>
      <c r="I746" s="4" t="s">
        <v>389</v>
      </c>
      <c r="J746" s="7" t="n">
        <f aca="false">LEN(E746)-SUMPRODUCT(LEN(E746)-LEN(SUBSTITUTE(E746,{"，","。","？","！","、","…","；","：","《","》"," ","“","”","—","（","）","·"},"")))</f>
        <v>18</v>
      </c>
      <c r="K746" s="23"/>
    </row>
    <row r="747" customFormat="false" ht="36" hidden="false" customHeight="true" outlineLevel="0" collapsed="false">
      <c r="A747" s="7" t="s">
        <v>174</v>
      </c>
      <c r="B747" s="15" t="n">
        <v>6</v>
      </c>
      <c r="C747" s="7" t="n">
        <v>5</v>
      </c>
      <c r="D747" s="22" t="s">
        <v>219</v>
      </c>
      <c r="E747" s="4" t="s">
        <v>1537</v>
      </c>
      <c r="F747" s="23"/>
      <c r="G747" s="22" t="s">
        <v>40</v>
      </c>
      <c r="H747" s="3"/>
      <c r="I747" s="4" t="s">
        <v>389</v>
      </c>
      <c r="J747" s="7" t="n">
        <f aca="false">LEN(E747)-SUMPRODUCT(LEN(E747)-LEN(SUBSTITUTE(E747,{"，","。","？","！","、","…","；","：","《","》"," ","“","”","—","（","）","·"},"")))</f>
        <v>21</v>
      </c>
      <c r="K747" s="23"/>
    </row>
    <row r="748" customFormat="false" ht="21" hidden="false" customHeight="true" outlineLevel="0" collapsed="false">
      <c r="A748" s="7" t="s">
        <v>174</v>
      </c>
      <c r="B748" s="15" t="n">
        <v>6</v>
      </c>
      <c r="C748" s="7" t="n">
        <v>6</v>
      </c>
      <c r="D748" s="22" t="s">
        <v>219</v>
      </c>
      <c r="E748" s="4" t="s">
        <v>1538</v>
      </c>
      <c r="F748" s="23"/>
      <c r="G748" s="22" t="s">
        <v>42</v>
      </c>
      <c r="H748" s="3"/>
      <c r="I748" s="3"/>
      <c r="J748" s="7" t="n">
        <f aca="false">LEN(E748)-SUMPRODUCT(LEN(E748)-LEN(SUBSTITUTE(E748,{"，","。","？","！","、","…","；","：","《","》"," ","“","”","—","（","）","·"},"")))</f>
        <v>20</v>
      </c>
      <c r="K748" s="23"/>
    </row>
    <row r="749" customFormat="false" ht="36" hidden="false" customHeight="true" outlineLevel="0" collapsed="false">
      <c r="A749" s="7" t="s">
        <v>174</v>
      </c>
      <c r="B749" s="15" t="n">
        <v>6</v>
      </c>
      <c r="C749" s="7" t="n">
        <v>7</v>
      </c>
      <c r="D749" s="22" t="s">
        <v>219</v>
      </c>
      <c r="E749" s="4" t="s">
        <v>1539</v>
      </c>
      <c r="F749" s="23"/>
      <c r="G749" s="22" t="s">
        <v>32</v>
      </c>
      <c r="H749" s="3" t="s">
        <v>1540</v>
      </c>
      <c r="I749" s="4" t="s">
        <v>1518</v>
      </c>
      <c r="J749" s="7" t="n">
        <f aca="false">LEN(E749)-SUMPRODUCT(LEN(E749)-LEN(SUBSTITUTE(E749,{"，","。","？","！","、","…","；","：","《","》"," ","“","”","—","（","）","·"},"")))</f>
        <v>34</v>
      </c>
      <c r="K749" s="23"/>
    </row>
    <row r="750" customFormat="false" ht="36" hidden="false" customHeight="true" outlineLevel="0" collapsed="false">
      <c r="A750" s="7" t="s">
        <v>174</v>
      </c>
      <c r="B750" s="15" t="n">
        <v>6</v>
      </c>
      <c r="C750" s="7" t="n">
        <v>8</v>
      </c>
      <c r="D750" s="22" t="s">
        <v>219</v>
      </c>
      <c r="E750" s="4" t="s">
        <v>1541</v>
      </c>
      <c r="F750" s="23"/>
      <c r="G750" s="22" t="s">
        <v>32</v>
      </c>
      <c r="H750" s="3"/>
      <c r="I750" s="3"/>
      <c r="J750" s="7" t="n">
        <f aca="false">LEN(E750)-SUMPRODUCT(LEN(E750)-LEN(SUBSTITUTE(E750,{"，","。","？","！","、","…","；","：","《","》"," ","“","”","—","（","）","·"},"")))</f>
        <v>23</v>
      </c>
      <c r="K750" s="23"/>
    </row>
    <row r="751" customFormat="false" ht="36" hidden="false" customHeight="true" outlineLevel="0" collapsed="false">
      <c r="A751" s="7" t="s">
        <v>174</v>
      </c>
      <c r="B751" s="15" t="n">
        <v>6</v>
      </c>
      <c r="C751" s="7" t="n">
        <v>9</v>
      </c>
      <c r="D751" s="22" t="s">
        <v>219</v>
      </c>
      <c r="E751" s="4" t="s">
        <v>1542</v>
      </c>
      <c r="F751" s="23"/>
      <c r="G751" s="22" t="s">
        <v>38</v>
      </c>
      <c r="H751" s="3"/>
      <c r="I751" s="3"/>
      <c r="J751" s="7" t="n">
        <f aca="false">LEN(E751)-SUMPRODUCT(LEN(E751)-LEN(SUBSTITUTE(E751,{"，","。","？","！","、","…","；","：","《","》"," ","“","”","—","（","）","·"},"")))</f>
        <v>27</v>
      </c>
      <c r="K751" s="23"/>
    </row>
    <row r="752" customFormat="false" ht="36" hidden="false" customHeight="true" outlineLevel="0" collapsed="false">
      <c r="A752" s="7" t="s">
        <v>174</v>
      </c>
      <c r="B752" s="15" t="n">
        <v>6</v>
      </c>
      <c r="C752" s="7" t="n">
        <v>10</v>
      </c>
      <c r="D752" s="22" t="s">
        <v>219</v>
      </c>
      <c r="E752" s="4" t="s">
        <v>1543</v>
      </c>
      <c r="F752" s="23"/>
      <c r="G752" s="22" t="s">
        <v>38</v>
      </c>
      <c r="H752" s="3"/>
      <c r="I752" s="3"/>
      <c r="J752" s="7" t="n">
        <f aca="false">LEN(E752)-SUMPRODUCT(LEN(E752)-LEN(SUBSTITUTE(E752,{"，","。","？","！","、","…","；","：","《","》"," ","“","”","—","（","）","·"},"")))</f>
        <v>30</v>
      </c>
      <c r="K752" s="23"/>
    </row>
    <row r="753" customFormat="false" ht="21" hidden="false" customHeight="true" outlineLevel="0" collapsed="false">
      <c r="A753" s="7" t="s">
        <v>174</v>
      </c>
      <c r="B753" s="15" t="n">
        <v>6</v>
      </c>
      <c r="C753" s="7" t="n">
        <v>11</v>
      </c>
      <c r="D753" s="22" t="s">
        <v>716</v>
      </c>
      <c r="E753" s="4" t="s">
        <v>1544</v>
      </c>
      <c r="F753" s="23"/>
      <c r="G753" s="22" t="s">
        <v>42</v>
      </c>
      <c r="H753" s="3"/>
      <c r="I753" s="4" t="s">
        <v>1472</v>
      </c>
      <c r="J753" s="7" t="n">
        <f aca="false">LEN(E753)-SUMPRODUCT(LEN(E753)-LEN(SUBSTITUTE(E753,{"，","。","？","！","、","…","；","：","《","》"," ","“","”","—","（","）","·"},"")))</f>
        <v>16</v>
      </c>
      <c r="K753" s="23"/>
    </row>
    <row r="754" customFormat="false" ht="36" hidden="false" customHeight="true" outlineLevel="0" collapsed="false">
      <c r="A754" s="7" t="s">
        <v>174</v>
      </c>
      <c r="B754" s="15" t="n">
        <v>6</v>
      </c>
      <c r="C754" s="7" t="n">
        <v>12</v>
      </c>
      <c r="D754" s="22" t="s">
        <v>219</v>
      </c>
      <c r="E754" s="4" t="s">
        <v>1545</v>
      </c>
      <c r="F754" s="23"/>
      <c r="G754" s="22" t="s">
        <v>30</v>
      </c>
      <c r="H754" s="3"/>
      <c r="I754" s="4" t="s">
        <v>1546</v>
      </c>
      <c r="J754" s="7" t="n">
        <f aca="false">LEN(E754)-SUMPRODUCT(LEN(E754)-LEN(SUBSTITUTE(E754,{"，","。","？","！","、","…","；","：","《","》"," ","“","”","—","（","）","·"},"")))</f>
        <v>37</v>
      </c>
      <c r="K754" s="23"/>
    </row>
    <row r="755" customFormat="false" ht="36" hidden="false" customHeight="true" outlineLevel="0" collapsed="false">
      <c r="A755" s="7" t="s">
        <v>174</v>
      </c>
      <c r="B755" s="15" t="n">
        <v>6</v>
      </c>
      <c r="C755" s="7" t="n">
        <v>13</v>
      </c>
      <c r="D755" s="22" t="s">
        <v>219</v>
      </c>
      <c r="E755" s="4" t="s">
        <v>1547</v>
      </c>
      <c r="F755" s="23"/>
      <c r="G755" s="22" t="s">
        <v>38</v>
      </c>
      <c r="H755" s="3"/>
      <c r="I755" s="3"/>
      <c r="J755" s="7" t="n">
        <f aca="false">LEN(E755)-SUMPRODUCT(LEN(E755)-LEN(SUBSTITUTE(E755,{"，","。","？","！","、","…","；","：","《","》"," ","“","”","—","（","）","·"},"")))</f>
        <v>26</v>
      </c>
      <c r="K755" s="23"/>
    </row>
    <row r="756" customFormat="false" ht="36" hidden="false" customHeight="true" outlineLevel="0" collapsed="false">
      <c r="A756" s="7" t="s">
        <v>174</v>
      </c>
      <c r="B756" s="15" t="n">
        <v>6</v>
      </c>
      <c r="C756" s="7" t="n">
        <v>14</v>
      </c>
      <c r="D756" s="22" t="s">
        <v>219</v>
      </c>
      <c r="E756" s="4" t="s">
        <v>1548</v>
      </c>
      <c r="F756" s="23"/>
      <c r="G756" s="22" t="s">
        <v>38</v>
      </c>
      <c r="H756" s="3"/>
      <c r="I756" s="4" t="s">
        <v>1475</v>
      </c>
      <c r="J756" s="7" t="n">
        <f aca="false">LEN(E756)-SUMPRODUCT(LEN(E756)-LEN(SUBSTITUTE(E756,{"，","。","？","！","、","…","；","：","《","》"," ","“","”","—","（","）","·"},"")))</f>
        <v>26</v>
      </c>
      <c r="K756" s="23"/>
    </row>
    <row r="757" customFormat="false" ht="36" hidden="false" customHeight="true" outlineLevel="0" collapsed="false">
      <c r="A757" s="7" t="s">
        <v>174</v>
      </c>
      <c r="B757" s="15" t="n">
        <v>6</v>
      </c>
      <c r="C757" s="7" t="n">
        <v>15</v>
      </c>
      <c r="D757" s="22" t="s">
        <v>219</v>
      </c>
      <c r="E757" s="4" t="s">
        <v>1549</v>
      </c>
      <c r="F757" s="23"/>
      <c r="G757" s="22" t="s">
        <v>38</v>
      </c>
      <c r="H757" s="3"/>
      <c r="I757" s="3"/>
      <c r="J757" s="7" t="n">
        <f aca="false">LEN(E757)-SUMPRODUCT(LEN(E757)-LEN(SUBSTITUTE(E757,{"，","。","？","！","、","…","；","：","《","》"," ","“","”","—","（","）","·"},"")))</f>
        <v>26</v>
      </c>
      <c r="K757" s="23"/>
    </row>
    <row r="758" customFormat="false" ht="36" hidden="false" customHeight="true" outlineLevel="0" collapsed="false">
      <c r="A758" s="7" t="s">
        <v>174</v>
      </c>
      <c r="B758" s="15" t="n">
        <v>6</v>
      </c>
      <c r="C758" s="7" t="n">
        <v>16</v>
      </c>
      <c r="D758" s="22" t="s">
        <v>481</v>
      </c>
      <c r="E758" s="4" t="s">
        <v>1550</v>
      </c>
      <c r="F758" s="23" t="s">
        <v>234</v>
      </c>
      <c r="G758" s="22" t="s">
        <v>36</v>
      </c>
      <c r="H758" s="3"/>
      <c r="I758" s="3"/>
      <c r="J758" s="7" t="n">
        <f aca="false">LEN(E758)-SUMPRODUCT(LEN(E758)-LEN(SUBSTITUTE(E758,{"，","。","？","！","、","…","；","：","《","》"," ","“","”","—","（","）","·"},"")))</f>
        <v>15</v>
      </c>
      <c r="K758" s="23"/>
    </row>
    <row r="759" customFormat="false" ht="36" hidden="false" customHeight="true" outlineLevel="0" collapsed="false">
      <c r="A759" s="7" t="s">
        <v>174</v>
      </c>
      <c r="B759" s="15" t="n">
        <v>6</v>
      </c>
      <c r="C759" s="7" t="n">
        <v>17</v>
      </c>
      <c r="D759" s="22" t="s">
        <v>219</v>
      </c>
      <c r="E759" s="4" t="s">
        <v>1551</v>
      </c>
      <c r="F759" s="23"/>
      <c r="G759" s="22" t="s">
        <v>38</v>
      </c>
      <c r="H759" s="3"/>
      <c r="I759" s="3"/>
      <c r="J759" s="7" t="n">
        <f aca="false">LEN(E759)-SUMPRODUCT(LEN(E759)-LEN(SUBSTITUTE(E759,{"，","。","？","！","、","…","；","：","《","》"," ","“","”","—","（","）","·"},"")))</f>
        <v>29</v>
      </c>
      <c r="K759" s="23"/>
    </row>
    <row r="760" customFormat="false" ht="36" hidden="false" customHeight="true" outlineLevel="0" collapsed="false">
      <c r="A760" s="7" t="s">
        <v>174</v>
      </c>
      <c r="B760" s="15" t="n">
        <v>6</v>
      </c>
      <c r="C760" s="7" t="n">
        <v>18</v>
      </c>
      <c r="D760" s="22" t="s">
        <v>219</v>
      </c>
      <c r="E760" s="4" t="s">
        <v>1552</v>
      </c>
      <c r="F760" s="23"/>
      <c r="G760" s="22" t="s">
        <v>38</v>
      </c>
      <c r="H760" s="3"/>
      <c r="I760" s="3"/>
      <c r="J760" s="7" t="n">
        <f aca="false">LEN(E760)-SUMPRODUCT(LEN(E760)-LEN(SUBSTITUTE(E760,{"，","。","？","！","、","…","；","：","《","》"," ","“","”","—","（","）","·"},"")))</f>
        <v>33</v>
      </c>
      <c r="K760" s="23"/>
    </row>
    <row r="761" customFormat="false" ht="36" hidden="false" customHeight="true" outlineLevel="0" collapsed="false">
      <c r="A761" s="7" t="s">
        <v>174</v>
      </c>
      <c r="B761" s="15" t="n">
        <v>6</v>
      </c>
      <c r="C761" s="7" t="n">
        <v>19</v>
      </c>
      <c r="D761" s="22" t="s">
        <v>219</v>
      </c>
      <c r="E761" s="4" t="s">
        <v>1553</v>
      </c>
      <c r="F761" s="23"/>
      <c r="G761" s="22" t="s">
        <v>38</v>
      </c>
      <c r="H761" s="3"/>
      <c r="I761" s="3"/>
      <c r="J761" s="7" t="n">
        <f aca="false">LEN(E761)-SUMPRODUCT(LEN(E761)-LEN(SUBSTITUTE(E761,{"，","。","？","！","、","…","；","：","《","》"," ","“","”","—","（","）","·"},"")))</f>
        <v>37</v>
      </c>
      <c r="K761" s="23"/>
    </row>
    <row r="762" customFormat="false" ht="36" hidden="false" customHeight="true" outlineLevel="0" collapsed="false">
      <c r="A762" s="7" t="s">
        <v>174</v>
      </c>
      <c r="B762" s="15" t="n">
        <v>6</v>
      </c>
      <c r="C762" s="7" t="n">
        <v>20</v>
      </c>
      <c r="D762" s="22" t="s">
        <v>716</v>
      </c>
      <c r="E762" s="4" t="s">
        <v>1554</v>
      </c>
      <c r="F762" s="23"/>
      <c r="G762" s="22" t="s">
        <v>34</v>
      </c>
      <c r="H762" s="3"/>
      <c r="I762" s="3"/>
      <c r="J762" s="7" t="n">
        <f aca="false">LEN(E762)-SUMPRODUCT(LEN(E762)-LEN(SUBSTITUTE(E762,{"，","。","？","！","、","…","；","：","《","》"," ","“","”","—","（","）","·"},"")))</f>
        <v>15</v>
      </c>
      <c r="K762" s="23"/>
    </row>
    <row r="763" customFormat="false" ht="36" hidden="false" customHeight="true" outlineLevel="0" collapsed="false">
      <c r="A763" s="7" t="s">
        <v>174</v>
      </c>
      <c r="B763" s="15" t="n">
        <v>6</v>
      </c>
      <c r="C763" s="7" t="n">
        <v>21</v>
      </c>
      <c r="D763" s="22" t="s">
        <v>219</v>
      </c>
      <c r="E763" s="4" t="s">
        <v>1555</v>
      </c>
      <c r="F763" s="23"/>
      <c r="G763" s="22" t="s">
        <v>38</v>
      </c>
      <c r="H763" s="3"/>
      <c r="I763" s="3"/>
      <c r="J763" s="7" t="n">
        <f aca="false">LEN(E763)-SUMPRODUCT(LEN(E763)-LEN(SUBSTITUTE(E763,{"，","。","？","！","、","…","；","：","《","》"," ","“","”","—","（","）","·"},"")))</f>
        <v>26</v>
      </c>
      <c r="K763" s="23"/>
    </row>
    <row r="764" customFormat="false" ht="21" hidden="false" customHeight="true" outlineLevel="0" collapsed="false">
      <c r="A764" s="7" t="s">
        <v>174</v>
      </c>
      <c r="B764" s="15" t="n">
        <v>6</v>
      </c>
      <c r="C764" s="7" t="n">
        <v>22</v>
      </c>
      <c r="D764" s="22" t="s">
        <v>481</v>
      </c>
      <c r="E764" s="4" t="s">
        <v>1556</v>
      </c>
      <c r="F764" s="23"/>
      <c r="G764" s="22" t="s">
        <v>32</v>
      </c>
      <c r="H764" s="3"/>
      <c r="I764" s="4" t="s">
        <v>1472</v>
      </c>
      <c r="J764" s="7" t="n">
        <f aca="false">LEN(E764)-SUMPRODUCT(LEN(E764)-LEN(SUBSTITUTE(E764,{"，","。","？","！","、","…","；","：","《","》"," ","“","”","—","（","）","·"},"")))</f>
        <v>22</v>
      </c>
      <c r="K764" s="23"/>
    </row>
    <row r="765" customFormat="false" ht="36" hidden="false" customHeight="true" outlineLevel="0" collapsed="false">
      <c r="A765" s="7" t="s">
        <v>174</v>
      </c>
      <c r="B765" s="15" t="n">
        <v>6</v>
      </c>
      <c r="C765" s="7" t="n">
        <v>23</v>
      </c>
      <c r="D765" s="22" t="s">
        <v>219</v>
      </c>
      <c r="E765" s="4" t="s">
        <v>1557</v>
      </c>
      <c r="F765" s="23"/>
      <c r="G765" s="22" t="s">
        <v>38</v>
      </c>
      <c r="H765" s="3"/>
      <c r="I765" s="3"/>
      <c r="J765" s="7" t="n">
        <f aca="false">LEN(E765)-SUMPRODUCT(LEN(E765)-LEN(SUBSTITUTE(E765,{"，","。","？","！","、","…","；","：","《","》"," ","“","”","—","（","）","·"},"")))</f>
        <v>30</v>
      </c>
      <c r="K765" s="23"/>
    </row>
    <row r="766" customFormat="false" ht="36" hidden="false" customHeight="true" outlineLevel="0" collapsed="false">
      <c r="A766" s="7" t="s">
        <v>174</v>
      </c>
      <c r="B766" s="15" t="n">
        <v>6</v>
      </c>
      <c r="C766" s="7" t="n">
        <v>24</v>
      </c>
      <c r="D766" s="22" t="s">
        <v>219</v>
      </c>
      <c r="E766" s="4" t="s">
        <v>1558</v>
      </c>
      <c r="F766" s="23"/>
      <c r="G766" s="22" t="s">
        <v>38</v>
      </c>
      <c r="H766" s="3"/>
      <c r="I766" s="4" t="s">
        <v>1559</v>
      </c>
      <c r="J766" s="7" t="n">
        <f aca="false">LEN(E766)-SUMPRODUCT(LEN(E766)-LEN(SUBSTITUTE(E766,{"，","。","？","！","、","…","；","：","《","》"," ","“","”","—","（","）","·"},"")))</f>
        <v>30</v>
      </c>
      <c r="K766" s="23"/>
    </row>
    <row r="767" customFormat="false" ht="36" hidden="false" customHeight="true" outlineLevel="0" collapsed="false">
      <c r="A767" s="7" t="s">
        <v>174</v>
      </c>
      <c r="B767" s="15" t="n">
        <v>6</v>
      </c>
      <c r="C767" s="7" t="n">
        <v>25</v>
      </c>
      <c r="D767" s="22" t="s">
        <v>716</v>
      </c>
      <c r="E767" s="4" t="s">
        <v>1560</v>
      </c>
      <c r="F767" s="23"/>
      <c r="G767" s="22" t="s">
        <v>30</v>
      </c>
      <c r="H767" s="3"/>
      <c r="I767" s="3"/>
      <c r="J767" s="7" t="n">
        <f aca="false">LEN(E767)-SUMPRODUCT(LEN(E767)-LEN(SUBSTITUTE(E767,{"，","。","？","！","、","…","；","：","《","》"," ","“","”","—","（","）","·"},"")))</f>
        <v>11</v>
      </c>
      <c r="K767" s="23"/>
    </row>
    <row r="768" customFormat="false" ht="36" hidden="false" customHeight="true" outlineLevel="0" collapsed="false">
      <c r="A768" s="7" t="s">
        <v>174</v>
      </c>
      <c r="B768" s="15" t="n">
        <v>6</v>
      </c>
      <c r="C768" s="7" t="n">
        <v>26</v>
      </c>
      <c r="D768" s="22" t="s">
        <v>219</v>
      </c>
      <c r="E768" s="4" t="s">
        <v>1561</v>
      </c>
      <c r="F768" s="23" t="s">
        <v>282</v>
      </c>
      <c r="G768" s="22" t="s">
        <v>38</v>
      </c>
      <c r="H768" s="3"/>
      <c r="I768" s="3"/>
      <c r="J768" s="7" t="n">
        <f aca="false">LEN(E768)-SUMPRODUCT(LEN(E768)-LEN(SUBSTITUTE(E768,{"，","。","？","！","、","…","；","：","《","》"," ","“","”","—","（","）","·"},"")))</f>
        <v>23</v>
      </c>
      <c r="K768" s="23"/>
    </row>
    <row r="769" customFormat="false" ht="36" hidden="false" customHeight="true" outlineLevel="0" collapsed="false">
      <c r="A769" s="7" t="s">
        <v>174</v>
      </c>
      <c r="B769" s="15" t="n">
        <v>6</v>
      </c>
      <c r="C769" s="7" t="n">
        <v>27</v>
      </c>
      <c r="D769" s="22" t="s">
        <v>481</v>
      </c>
      <c r="E769" s="4" t="s">
        <v>1562</v>
      </c>
      <c r="F769" s="23"/>
      <c r="G769" s="22" t="s">
        <v>34</v>
      </c>
      <c r="H769" s="3"/>
      <c r="I769" s="4" t="s">
        <v>1472</v>
      </c>
      <c r="J769" s="7" t="n">
        <f aca="false">LEN(E769)-SUMPRODUCT(LEN(E769)-LEN(SUBSTITUTE(E769,{"，","。","？","！","、","…","；","：","《","》"," ","“","”","—","（","）","·"},"")))</f>
        <v>26</v>
      </c>
      <c r="K769" s="23"/>
    </row>
    <row r="770" customFormat="false" ht="36" hidden="false" customHeight="true" outlineLevel="0" collapsed="false">
      <c r="A770" s="7" t="s">
        <v>174</v>
      </c>
      <c r="B770" s="15" t="n">
        <v>6</v>
      </c>
      <c r="C770" s="7" t="n">
        <v>28</v>
      </c>
      <c r="D770" s="22" t="s">
        <v>219</v>
      </c>
      <c r="E770" s="4" t="s">
        <v>1563</v>
      </c>
      <c r="F770" s="23"/>
      <c r="G770" s="22" t="s">
        <v>36</v>
      </c>
      <c r="H770" s="3"/>
      <c r="I770" s="3"/>
      <c r="J770" s="7" t="n">
        <f aca="false">LEN(E770)-SUMPRODUCT(LEN(E770)-LEN(SUBSTITUTE(E770,{"，","。","？","！","、","…","；","：","《","》"," ","“","”","—","（","）","·"},"")))</f>
        <v>21</v>
      </c>
      <c r="K770" s="23"/>
    </row>
    <row r="771" customFormat="false" ht="21" hidden="false" customHeight="true" outlineLevel="0" collapsed="false">
      <c r="A771" s="7" t="s">
        <v>174</v>
      </c>
      <c r="B771" s="15" t="n">
        <v>6</v>
      </c>
      <c r="C771" s="7" t="n">
        <v>29</v>
      </c>
      <c r="D771" s="22" t="s">
        <v>716</v>
      </c>
      <c r="E771" s="4" t="s">
        <v>1564</v>
      </c>
      <c r="F771" s="23"/>
      <c r="G771" s="22" t="s">
        <v>42</v>
      </c>
      <c r="H771" s="3"/>
      <c r="I771" s="3"/>
      <c r="J771" s="7" t="n">
        <f aca="false">LEN(E771)-SUMPRODUCT(LEN(E771)-LEN(SUBSTITUTE(E771,{"，","。","？","！","、","…","；","：","《","》"," ","“","”","—","（","）","·"},"")))</f>
        <v>19</v>
      </c>
      <c r="K771" s="23"/>
    </row>
    <row r="772" customFormat="false" ht="36" hidden="false" customHeight="true" outlineLevel="0" collapsed="false">
      <c r="A772" s="7" t="s">
        <v>174</v>
      </c>
      <c r="B772" s="15" t="n">
        <v>6</v>
      </c>
      <c r="C772" s="7" t="n">
        <v>30</v>
      </c>
      <c r="D772" s="22" t="s">
        <v>716</v>
      </c>
      <c r="E772" s="4" t="s">
        <v>1565</v>
      </c>
      <c r="F772" s="23" t="s">
        <v>1566</v>
      </c>
      <c r="G772" s="22" t="s">
        <v>34</v>
      </c>
      <c r="H772" s="3" t="s">
        <v>1567</v>
      </c>
      <c r="I772" s="4" t="s">
        <v>1568</v>
      </c>
      <c r="J772" s="7" t="n">
        <f aca="false">LEN(E772)-SUMPRODUCT(LEN(E772)-LEN(SUBSTITUTE(E772,{"，","。","？","！","、","…","；","：","《","》"," ","“","”","—","（","）","·"},"")))</f>
        <v>31</v>
      </c>
      <c r="K772" s="23"/>
    </row>
    <row r="773" customFormat="false" ht="36" hidden="false" customHeight="true" outlineLevel="0" collapsed="false">
      <c r="A773" s="7" t="s">
        <v>174</v>
      </c>
      <c r="B773" s="15" t="n">
        <v>6</v>
      </c>
      <c r="C773" s="7" t="n">
        <v>31</v>
      </c>
      <c r="D773" s="22" t="s">
        <v>716</v>
      </c>
      <c r="E773" s="4" t="s">
        <v>1569</v>
      </c>
      <c r="F773" s="23"/>
      <c r="G773" s="22" t="s">
        <v>30</v>
      </c>
      <c r="H773" s="3" t="s">
        <v>1570</v>
      </c>
      <c r="I773" s="3"/>
      <c r="J773" s="7" t="n">
        <f aca="false">LEN(E773)-SUMPRODUCT(LEN(E773)-LEN(SUBSTITUTE(E773,{"，","。","？","！","、","…","；","：","《","》"," ","“","”","—","（","）","·"},"")))</f>
        <v>26</v>
      </c>
      <c r="K773" s="23"/>
    </row>
    <row r="774" customFormat="false" ht="36" hidden="false" customHeight="true" outlineLevel="0" collapsed="false">
      <c r="A774" s="7" t="s">
        <v>174</v>
      </c>
      <c r="B774" s="15" t="n">
        <v>6</v>
      </c>
      <c r="C774" s="7" t="n">
        <v>32</v>
      </c>
      <c r="D774" s="22" t="s">
        <v>481</v>
      </c>
      <c r="E774" s="4" t="s">
        <v>1571</v>
      </c>
      <c r="F774" s="23"/>
      <c r="G774" s="22" t="s">
        <v>34</v>
      </c>
      <c r="H774" s="3"/>
      <c r="I774" s="3"/>
      <c r="J774" s="7" t="n">
        <f aca="false">LEN(E774)-SUMPRODUCT(LEN(E774)-LEN(SUBSTITUTE(E774,{"，","。","？","！","、","…","；","：","《","》"," ","“","”","—","（","）","·"},"")))</f>
        <v>23</v>
      </c>
      <c r="K774" s="23"/>
    </row>
    <row r="775" customFormat="false" ht="36" hidden="false" customHeight="true" outlineLevel="0" collapsed="false">
      <c r="A775" s="7" t="s">
        <v>174</v>
      </c>
      <c r="B775" s="15" t="n">
        <v>6</v>
      </c>
      <c r="C775" s="7" t="n">
        <v>33</v>
      </c>
      <c r="D775" s="22" t="s">
        <v>219</v>
      </c>
      <c r="E775" s="4" t="s">
        <v>1572</v>
      </c>
      <c r="F775" s="23" t="s">
        <v>1573</v>
      </c>
      <c r="G775" s="22" t="s">
        <v>36</v>
      </c>
      <c r="H775" s="3"/>
      <c r="I775" s="3"/>
      <c r="J775" s="7" t="n">
        <f aca="false">LEN(E775)-SUMPRODUCT(LEN(E775)-LEN(SUBSTITUTE(E775,{"，","。","？","！","、","…","；","：","《","》"," ","“","”","—","（","）","·"},"")))</f>
        <v>21</v>
      </c>
      <c r="K775" s="23"/>
    </row>
    <row r="776" customFormat="false" ht="36" hidden="false" customHeight="true" outlineLevel="0" collapsed="false">
      <c r="A776" s="7" t="s">
        <v>174</v>
      </c>
      <c r="B776" s="15" t="n">
        <v>6</v>
      </c>
      <c r="C776" s="7" t="n">
        <v>34</v>
      </c>
      <c r="D776" s="22" t="s">
        <v>219</v>
      </c>
      <c r="E776" s="4" t="s">
        <v>1574</v>
      </c>
      <c r="F776" s="23"/>
      <c r="G776" s="22" t="s">
        <v>34</v>
      </c>
      <c r="H776" s="3"/>
      <c r="I776" s="3"/>
      <c r="J776" s="7" t="n">
        <f aca="false">LEN(E776)-SUMPRODUCT(LEN(E776)-LEN(SUBSTITUTE(E776,{"，","。","？","！","、","…","；","：","《","》"," ","“","”","—","（","）","·"},"")))</f>
        <v>24</v>
      </c>
      <c r="K776" s="23"/>
    </row>
    <row r="777" customFormat="false" ht="36" hidden="false" customHeight="true" outlineLevel="0" collapsed="false">
      <c r="A777" s="7" t="s">
        <v>174</v>
      </c>
      <c r="B777" s="15" t="n">
        <v>6</v>
      </c>
      <c r="C777" s="7" t="n">
        <v>35</v>
      </c>
      <c r="D777" s="22" t="s">
        <v>219</v>
      </c>
      <c r="E777" s="4" t="s">
        <v>1575</v>
      </c>
      <c r="F777" s="23"/>
      <c r="G777" s="22" t="s">
        <v>36</v>
      </c>
      <c r="H777" s="3"/>
      <c r="I777" s="3"/>
      <c r="J777" s="7" t="n">
        <f aca="false">LEN(E777)-SUMPRODUCT(LEN(E777)-LEN(SUBSTITUTE(E777,{"，","。","？","！","、","…","；","：","《","》"," ","“","”","—","（","）","·"},"")))</f>
        <v>24</v>
      </c>
      <c r="K777" s="23"/>
    </row>
    <row r="778" customFormat="false" ht="36" hidden="false" customHeight="true" outlineLevel="0" collapsed="false">
      <c r="A778" s="7" t="s">
        <v>174</v>
      </c>
      <c r="B778" s="15" t="n">
        <v>6</v>
      </c>
      <c r="C778" s="7" t="n">
        <v>36</v>
      </c>
      <c r="D778" s="22" t="s">
        <v>716</v>
      </c>
      <c r="E778" s="4" t="s">
        <v>1576</v>
      </c>
      <c r="F778" s="23"/>
      <c r="G778" s="22" t="s">
        <v>30</v>
      </c>
      <c r="H778" s="3"/>
      <c r="I778" s="4" t="s">
        <v>1577</v>
      </c>
      <c r="J778" s="7" t="n">
        <f aca="false">LEN(E778)-SUMPRODUCT(LEN(E778)-LEN(SUBSTITUTE(E778,{"，","。","？","！","、","…","；","：","《","》"," ","“","”","—","（","）","·"},"")))</f>
        <v>15</v>
      </c>
      <c r="K778" s="23"/>
    </row>
    <row r="779" customFormat="false" ht="36" hidden="false" customHeight="true" outlineLevel="0" collapsed="false">
      <c r="A779" s="7" t="s">
        <v>174</v>
      </c>
      <c r="B779" s="15" t="n">
        <v>6</v>
      </c>
      <c r="C779" s="7" t="n">
        <v>37</v>
      </c>
      <c r="D779" s="22" t="s">
        <v>219</v>
      </c>
      <c r="E779" s="4" t="s">
        <v>1578</v>
      </c>
      <c r="F779" s="23"/>
      <c r="G779" s="22" t="s">
        <v>30</v>
      </c>
      <c r="H779" s="3"/>
      <c r="I779" s="3"/>
      <c r="J779" s="7" t="n">
        <f aca="false">LEN(E779)-SUMPRODUCT(LEN(E779)-LEN(SUBSTITUTE(E779,{"，","。","？","！","、","…","；","：","《","》"," ","“","”","—","（","）","·"},"")))</f>
        <v>24</v>
      </c>
      <c r="K779" s="23"/>
    </row>
    <row r="780" customFormat="false" ht="21" hidden="false" customHeight="true" outlineLevel="0" collapsed="false">
      <c r="A780" s="7" t="s">
        <v>174</v>
      </c>
      <c r="B780" s="15" t="n">
        <v>6</v>
      </c>
      <c r="C780" s="7" t="n">
        <v>38</v>
      </c>
      <c r="D780" s="22" t="s">
        <v>481</v>
      </c>
      <c r="E780" s="4" t="s">
        <v>1579</v>
      </c>
      <c r="F780" s="23"/>
      <c r="G780" s="22" t="s">
        <v>42</v>
      </c>
      <c r="H780" s="3"/>
      <c r="I780" s="3"/>
      <c r="J780" s="7" t="n">
        <f aca="false">LEN(E780)-SUMPRODUCT(LEN(E780)-LEN(SUBSTITUTE(E780,{"，","。","？","！","、","…","；","：","《","》"," ","“","”","—","（","）","·"},"")))</f>
        <v>15</v>
      </c>
      <c r="K780" s="23"/>
    </row>
    <row r="781" customFormat="false" ht="21" hidden="false" customHeight="true" outlineLevel="0" collapsed="false">
      <c r="A781" s="7" t="s">
        <v>174</v>
      </c>
      <c r="B781" s="15" t="n">
        <v>6</v>
      </c>
      <c r="C781" s="7" t="n">
        <v>39</v>
      </c>
      <c r="D781" s="22" t="s">
        <v>229</v>
      </c>
      <c r="E781" s="4" t="s">
        <v>1580</v>
      </c>
      <c r="F781" s="23"/>
      <c r="G781" s="22" t="s">
        <v>42</v>
      </c>
      <c r="H781" s="3" t="s">
        <v>1581</v>
      </c>
      <c r="I781" s="4" t="s">
        <v>1472</v>
      </c>
      <c r="J781" s="7" t="n">
        <f aca="false">LEN(E781)-SUMPRODUCT(LEN(E781)-LEN(SUBSTITUTE(E781,{"，","。","？","！","、","…","；","：","《","》"," ","“","”","—","（","）","·"},"")))</f>
        <v>18</v>
      </c>
      <c r="K781" s="23"/>
    </row>
    <row r="782" customFormat="false" ht="36" hidden="false" customHeight="true" outlineLevel="0" collapsed="false">
      <c r="A782" s="7" t="s">
        <v>174</v>
      </c>
      <c r="B782" s="15" t="n">
        <v>6</v>
      </c>
      <c r="C782" s="7" t="n">
        <v>40</v>
      </c>
      <c r="D782" s="22" t="s">
        <v>219</v>
      </c>
      <c r="E782" s="4" t="s">
        <v>1582</v>
      </c>
      <c r="F782" s="23" t="s">
        <v>226</v>
      </c>
      <c r="G782" s="22" t="s">
        <v>40</v>
      </c>
      <c r="H782" s="3" t="s">
        <v>1583</v>
      </c>
      <c r="I782" s="3"/>
      <c r="J782" s="7" t="n">
        <f aca="false">LEN(E782)-SUMPRODUCT(LEN(E782)-LEN(SUBSTITUTE(E782,{"，","。","？","！","、","…","；","：","《","》"," ","“","”","—","（","）","·"},"")))</f>
        <v>28</v>
      </c>
      <c r="K782" s="23"/>
    </row>
    <row r="783" customFormat="false" ht="36" hidden="false" customHeight="true" outlineLevel="0" collapsed="false">
      <c r="A783" s="7" t="s">
        <v>174</v>
      </c>
      <c r="B783" s="15" t="n">
        <v>6</v>
      </c>
      <c r="C783" s="7" t="n">
        <v>41</v>
      </c>
      <c r="D783" s="22" t="s">
        <v>219</v>
      </c>
      <c r="E783" s="4" t="s">
        <v>1584</v>
      </c>
      <c r="F783" s="23"/>
      <c r="G783" s="22" t="s">
        <v>40</v>
      </c>
      <c r="H783" s="3"/>
      <c r="I783" s="3"/>
      <c r="J783" s="7" t="n">
        <f aca="false">LEN(E783)-SUMPRODUCT(LEN(E783)-LEN(SUBSTITUTE(E783,{"，","。","？","！","、","…","；","：","《","》"," ","“","”","—","（","）","·"},"")))</f>
        <v>27</v>
      </c>
      <c r="K783" s="23"/>
    </row>
    <row r="784" customFormat="false" ht="21" hidden="false" customHeight="true" outlineLevel="0" collapsed="false">
      <c r="A784" s="7" t="s">
        <v>174</v>
      </c>
      <c r="B784" s="15" t="n">
        <v>6</v>
      </c>
      <c r="C784" s="7" t="n">
        <v>42</v>
      </c>
      <c r="D784" s="22" t="s">
        <v>716</v>
      </c>
      <c r="E784" s="4" t="s">
        <v>1585</v>
      </c>
      <c r="F784" s="23"/>
      <c r="G784" s="22" t="s">
        <v>42</v>
      </c>
      <c r="H784" s="3"/>
      <c r="I784" s="4" t="s">
        <v>1472</v>
      </c>
      <c r="J784" s="7" t="n">
        <f aca="false">LEN(E784)-SUMPRODUCT(LEN(E784)-LEN(SUBSTITUTE(E784,{"，","。","？","！","、","…","；","：","《","》"," ","“","”","—","（","）","·"},"")))</f>
        <v>6</v>
      </c>
      <c r="K784" s="23"/>
    </row>
    <row r="785" customFormat="false" ht="21" hidden="false" customHeight="true" outlineLevel="0" collapsed="false">
      <c r="A785" s="7" t="s">
        <v>179</v>
      </c>
      <c r="B785" s="15" t="n">
        <v>6</v>
      </c>
      <c r="C785" s="7" t="n">
        <v>1</v>
      </c>
      <c r="D785" s="22" t="s">
        <v>232</v>
      </c>
      <c r="E785" s="4" t="s">
        <v>1586</v>
      </c>
      <c r="F785" s="23" t="s">
        <v>1587</v>
      </c>
      <c r="G785" s="22" t="s">
        <v>42</v>
      </c>
      <c r="H785" s="3" t="s">
        <v>401</v>
      </c>
      <c r="I785" s="4" t="s">
        <v>1472</v>
      </c>
      <c r="J785" s="7" t="n">
        <f aca="false">LEN(E785)-SUMPRODUCT(LEN(E785)-LEN(SUBSTITUTE(E785,{"，","。","？","！","、","…","；","：","《","》"," ","“","”","—","（","）","·"},"")))</f>
        <v>21</v>
      </c>
      <c r="K785" s="23"/>
    </row>
    <row r="786" customFormat="false" ht="21" hidden="false" customHeight="true" outlineLevel="0" collapsed="false">
      <c r="A786" s="7" t="s">
        <v>179</v>
      </c>
      <c r="B786" s="15" t="n">
        <v>6</v>
      </c>
      <c r="C786" s="7" t="n">
        <v>2</v>
      </c>
      <c r="D786" s="22" t="s">
        <v>219</v>
      </c>
      <c r="E786" s="4" t="s">
        <v>1588</v>
      </c>
      <c r="F786" s="23"/>
      <c r="G786" s="22" t="s">
        <v>42</v>
      </c>
      <c r="H786" s="3"/>
      <c r="I786" s="3"/>
      <c r="J786" s="7" t="n">
        <f aca="false">LEN(E786)-SUMPRODUCT(LEN(E786)-LEN(SUBSTITUTE(E786,{"，","。","？","！","、","…","；","：","《","》"," ","“","”","—","（","）","·"},"")))</f>
        <v>14</v>
      </c>
      <c r="K786" s="23"/>
    </row>
    <row r="787" customFormat="false" ht="21" hidden="false" customHeight="true" outlineLevel="0" collapsed="false">
      <c r="A787" s="7" t="s">
        <v>179</v>
      </c>
      <c r="B787" s="15" t="n">
        <v>6</v>
      </c>
      <c r="C787" s="7" t="n">
        <v>3</v>
      </c>
      <c r="D787" s="22" t="s">
        <v>222</v>
      </c>
      <c r="E787" s="4" t="s">
        <v>1589</v>
      </c>
      <c r="F787" s="23" t="s">
        <v>1590</v>
      </c>
      <c r="G787" s="22" t="s">
        <v>42</v>
      </c>
      <c r="H787" s="3"/>
      <c r="I787" s="3"/>
      <c r="J787" s="7" t="n">
        <f aca="false">LEN(E787)-SUMPRODUCT(LEN(E787)-LEN(SUBSTITUTE(E787,{"，","。","？","！","、","…","；","：","《","》"," ","“","”","—","（","）","·"},"")))</f>
        <v>14</v>
      </c>
      <c r="K787" s="23"/>
    </row>
    <row r="788" customFormat="false" ht="36" hidden="false" customHeight="true" outlineLevel="0" collapsed="false">
      <c r="A788" s="7" t="s">
        <v>179</v>
      </c>
      <c r="B788" s="15" t="n">
        <v>6</v>
      </c>
      <c r="C788" s="7" t="n">
        <v>4</v>
      </c>
      <c r="D788" s="22" t="s">
        <v>219</v>
      </c>
      <c r="E788" s="4" t="s">
        <v>1591</v>
      </c>
      <c r="F788" s="23"/>
      <c r="G788" s="22" t="s">
        <v>38</v>
      </c>
      <c r="H788" s="3"/>
      <c r="I788" s="4" t="s">
        <v>1592</v>
      </c>
      <c r="J788" s="7" t="n">
        <f aca="false">LEN(E788)-SUMPRODUCT(LEN(E788)-LEN(SUBSTITUTE(E788,{"，","。","？","！","、","…","；","：","《","》"," ","“","”","—","（","）","·"},"")))</f>
        <v>38</v>
      </c>
      <c r="K788" s="23"/>
    </row>
    <row r="789" customFormat="false" ht="36" hidden="false" customHeight="true" outlineLevel="0" collapsed="false">
      <c r="A789" s="7" t="s">
        <v>179</v>
      </c>
      <c r="B789" s="15" t="n">
        <v>6</v>
      </c>
      <c r="C789" s="7" t="n">
        <v>5</v>
      </c>
      <c r="D789" s="22" t="s">
        <v>219</v>
      </c>
      <c r="E789" s="4" t="s">
        <v>1593</v>
      </c>
      <c r="F789" s="23"/>
      <c r="G789" s="22" t="s">
        <v>38</v>
      </c>
      <c r="H789" s="3"/>
      <c r="I789" s="4" t="s">
        <v>1512</v>
      </c>
      <c r="J789" s="7" t="n">
        <f aca="false">LEN(E789)-SUMPRODUCT(LEN(E789)-LEN(SUBSTITUTE(E789,{"，","。","？","！","、","…","；","：","《","》"," ","“","”","—","（","）","·"},"")))</f>
        <v>27</v>
      </c>
      <c r="K789" s="23"/>
    </row>
    <row r="790" customFormat="false" ht="36" hidden="false" customHeight="true" outlineLevel="0" collapsed="false">
      <c r="A790" s="7" t="s">
        <v>179</v>
      </c>
      <c r="B790" s="15" t="n">
        <v>6</v>
      </c>
      <c r="C790" s="7" t="n">
        <v>6</v>
      </c>
      <c r="D790" s="22" t="s">
        <v>219</v>
      </c>
      <c r="E790" s="4" t="s">
        <v>1594</v>
      </c>
      <c r="F790" s="23"/>
      <c r="G790" s="22" t="s">
        <v>38</v>
      </c>
      <c r="H790" s="3"/>
      <c r="I790" s="3"/>
      <c r="J790" s="7" t="n">
        <f aca="false">LEN(E790)-SUMPRODUCT(LEN(E790)-LEN(SUBSTITUTE(E790,{"，","。","？","！","、","…","；","：","《","》"," ","“","”","—","（","）","·"},"")))</f>
        <v>30</v>
      </c>
      <c r="K790" s="23"/>
    </row>
    <row r="791" customFormat="false" ht="36" hidden="false" customHeight="true" outlineLevel="0" collapsed="false">
      <c r="A791" s="7" t="s">
        <v>179</v>
      </c>
      <c r="B791" s="15" t="n">
        <v>6</v>
      </c>
      <c r="C791" s="7" t="n">
        <v>7</v>
      </c>
      <c r="D791" s="22" t="s">
        <v>219</v>
      </c>
      <c r="E791" s="4" t="s">
        <v>1595</v>
      </c>
      <c r="F791" s="23"/>
      <c r="G791" s="22" t="s">
        <v>38</v>
      </c>
      <c r="H791" s="3" t="s">
        <v>448</v>
      </c>
      <c r="I791" s="3"/>
      <c r="J791" s="7" t="n">
        <f aca="false">LEN(E791)-SUMPRODUCT(LEN(E791)-LEN(SUBSTITUTE(E791,{"，","。","？","！","、","…","；","：","《","》"," ","“","”","—","（","）","·"},"")))</f>
        <v>29</v>
      </c>
      <c r="K791" s="23"/>
    </row>
    <row r="792" customFormat="false" ht="36" hidden="false" customHeight="true" outlineLevel="0" collapsed="false">
      <c r="A792" s="7" t="s">
        <v>179</v>
      </c>
      <c r="B792" s="15" t="n">
        <v>6</v>
      </c>
      <c r="C792" s="7" t="n">
        <v>8</v>
      </c>
      <c r="D792" s="22" t="s">
        <v>219</v>
      </c>
      <c r="E792" s="4" t="s">
        <v>1596</v>
      </c>
      <c r="F792" s="23"/>
      <c r="G792" s="22" t="s">
        <v>38</v>
      </c>
      <c r="H792" s="3" t="s">
        <v>1597</v>
      </c>
      <c r="I792" s="3"/>
      <c r="J792" s="7" t="n">
        <f aca="false">LEN(E792)-SUMPRODUCT(LEN(E792)-LEN(SUBSTITUTE(E792,{"，","。","？","！","、","…","；","：","《","》"," ","“","”","—","（","）","·"},"")))</f>
        <v>26</v>
      </c>
      <c r="K792" s="23"/>
    </row>
    <row r="793" customFormat="false" ht="36" hidden="false" customHeight="true" outlineLevel="0" collapsed="false">
      <c r="A793" s="7" t="s">
        <v>179</v>
      </c>
      <c r="B793" s="15" t="n">
        <v>6</v>
      </c>
      <c r="C793" s="7" t="n">
        <v>9</v>
      </c>
      <c r="D793" s="22" t="s">
        <v>219</v>
      </c>
      <c r="E793" s="4" t="s">
        <v>1598</v>
      </c>
      <c r="F793" s="23"/>
      <c r="G793" s="22" t="s">
        <v>38</v>
      </c>
      <c r="H793" s="3" t="s">
        <v>1599</v>
      </c>
      <c r="I793" s="3"/>
      <c r="J793" s="7" t="n">
        <f aca="false">LEN(E793)-SUMPRODUCT(LEN(E793)-LEN(SUBSTITUTE(E793,{"，","。","？","！","、","…","；","：","《","》"," ","“","”","—","（","）","·"},"")))</f>
        <v>27</v>
      </c>
      <c r="K793" s="23"/>
    </row>
    <row r="794" customFormat="false" ht="36" hidden="false" customHeight="true" outlineLevel="0" collapsed="false">
      <c r="A794" s="7" t="s">
        <v>179</v>
      </c>
      <c r="B794" s="15" t="n">
        <v>6</v>
      </c>
      <c r="C794" s="7" t="n">
        <v>10</v>
      </c>
      <c r="D794" s="22" t="s">
        <v>232</v>
      </c>
      <c r="E794" s="4" t="s">
        <v>1600</v>
      </c>
      <c r="F794" s="23"/>
      <c r="G794" s="22" t="s">
        <v>42</v>
      </c>
      <c r="H794" s="3"/>
      <c r="I794" s="4" t="s">
        <v>1472</v>
      </c>
      <c r="J794" s="7" t="n">
        <f aca="false">LEN(E794)-SUMPRODUCT(LEN(E794)-LEN(SUBSTITUTE(E794,{"，","。","？","！","、","…","；","：","《","》"," ","“","”","—","（","）","·"},"")))</f>
        <v>23</v>
      </c>
      <c r="K794" s="23"/>
    </row>
    <row r="795" customFormat="false" ht="66" hidden="false" customHeight="true" outlineLevel="0" collapsed="false">
      <c r="A795" s="7" t="s">
        <v>179</v>
      </c>
      <c r="B795" s="15" t="n">
        <v>6</v>
      </c>
      <c r="C795" s="7" t="n">
        <v>11</v>
      </c>
      <c r="D795" s="22" t="s">
        <v>232</v>
      </c>
      <c r="E795" s="4" t="s">
        <v>1601</v>
      </c>
      <c r="F795" s="23" t="s">
        <v>1602</v>
      </c>
      <c r="G795" s="22" t="s">
        <v>36</v>
      </c>
      <c r="H795" s="3"/>
      <c r="I795" s="4" t="s">
        <v>1603</v>
      </c>
      <c r="J795" s="7" t="n">
        <f aca="false">LEN(E795)-SUMPRODUCT(LEN(E795)-LEN(SUBSTITUTE(E795,{"，","。","？","！","、","…","；","：","《","》"," ","“","”","—","（","）","·"},"")))</f>
        <v>26</v>
      </c>
      <c r="K795" s="23" t="s">
        <v>1604</v>
      </c>
    </row>
    <row r="796" customFormat="false" ht="66" hidden="false" customHeight="true" outlineLevel="0" collapsed="false">
      <c r="A796" s="7" t="s">
        <v>179</v>
      </c>
      <c r="B796" s="15" t="n">
        <v>6</v>
      </c>
      <c r="C796" s="7" t="n">
        <v>12</v>
      </c>
      <c r="D796" s="22" t="s">
        <v>232</v>
      </c>
      <c r="E796" s="4" t="s">
        <v>1605</v>
      </c>
      <c r="F796" s="23"/>
      <c r="G796" s="22" t="s">
        <v>36</v>
      </c>
      <c r="H796" s="3"/>
      <c r="I796" s="4" t="s">
        <v>389</v>
      </c>
      <c r="J796" s="7" t="n">
        <f aca="false">LEN(E796)-SUMPRODUCT(LEN(E796)-LEN(SUBSTITUTE(E796,{"，","。","？","！","、","…","；","：","《","》"," ","“","”","—","（","）","·"},"")))</f>
        <v>26</v>
      </c>
      <c r="K796" s="23" t="s">
        <v>1604</v>
      </c>
    </row>
    <row r="797" customFormat="false" ht="66" hidden="false" customHeight="true" outlineLevel="0" collapsed="false">
      <c r="A797" s="7" t="s">
        <v>179</v>
      </c>
      <c r="B797" s="15" t="n">
        <v>6</v>
      </c>
      <c r="C797" s="7" t="n">
        <v>13</v>
      </c>
      <c r="D797" s="22" t="s">
        <v>232</v>
      </c>
      <c r="E797" s="4" t="s">
        <v>1606</v>
      </c>
      <c r="F797" s="23"/>
      <c r="G797" s="22" t="s">
        <v>36</v>
      </c>
      <c r="H797" s="3"/>
      <c r="I797" s="4" t="s">
        <v>1577</v>
      </c>
      <c r="J797" s="7" t="n">
        <f aca="false">LEN(E797)-SUMPRODUCT(LEN(E797)-LEN(SUBSTITUTE(E797,{"，","。","？","！","、","…","；","：","《","》"," ","“","”","—","（","）","·"},"")))</f>
        <v>49</v>
      </c>
      <c r="K797" s="23" t="s">
        <v>1604</v>
      </c>
    </row>
    <row r="798" customFormat="false" ht="66" hidden="false" customHeight="true" outlineLevel="0" collapsed="false">
      <c r="A798" s="7" t="s">
        <v>179</v>
      </c>
      <c r="B798" s="15" t="n">
        <v>6</v>
      </c>
      <c r="C798" s="7" t="n">
        <v>14</v>
      </c>
      <c r="D798" s="22" t="s">
        <v>232</v>
      </c>
      <c r="E798" s="4" t="s">
        <v>1607</v>
      </c>
      <c r="F798" s="23"/>
      <c r="G798" s="22" t="s">
        <v>36</v>
      </c>
      <c r="H798" s="3" t="s">
        <v>448</v>
      </c>
      <c r="I798" s="3"/>
      <c r="J798" s="7" t="n">
        <f aca="false">LEN(E798)-SUMPRODUCT(LEN(E798)-LEN(SUBSTITUTE(E798,{"，","。","？","！","、","…","；","：","《","》"," ","“","”","—","（","）","·"},"")))</f>
        <v>41</v>
      </c>
      <c r="K798" s="23" t="s">
        <v>1604</v>
      </c>
    </row>
    <row r="799" customFormat="false" ht="36" hidden="false" customHeight="true" outlineLevel="0" collapsed="false">
      <c r="A799" s="7" t="s">
        <v>179</v>
      </c>
      <c r="B799" s="15" t="n">
        <v>6</v>
      </c>
      <c r="C799" s="7" t="n">
        <v>15</v>
      </c>
      <c r="D799" s="22" t="s">
        <v>219</v>
      </c>
      <c r="E799" s="4" t="s">
        <v>1608</v>
      </c>
      <c r="F799" s="23" t="s">
        <v>282</v>
      </c>
      <c r="G799" s="22" t="s">
        <v>36</v>
      </c>
      <c r="H799" s="3"/>
      <c r="I799" s="3"/>
      <c r="J799" s="7" t="n">
        <f aca="false">LEN(E799)-SUMPRODUCT(LEN(E799)-LEN(SUBSTITUTE(E799,{"，","。","？","！","、","…","；","：","《","》"," ","“","”","—","（","）","·"},"")))</f>
        <v>18</v>
      </c>
      <c r="K799" s="23"/>
    </row>
    <row r="800" customFormat="false" ht="36" hidden="false" customHeight="true" outlineLevel="0" collapsed="false">
      <c r="A800" s="7" t="s">
        <v>179</v>
      </c>
      <c r="B800" s="15" t="n">
        <v>6</v>
      </c>
      <c r="C800" s="7" t="n">
        <v>16</v>
      </c>
      <c r="D800" s="22" t="s">
        <v>219</v>
      </c>
      <c r="E800" s="4" t="s">
        <v>1609</v>
      </c>
      <c r="F800" s="23"/>
      <c r="G800" s="22" t="s">
        <v>32</v>
      </c>
      <c r="H800" s="3"/>
      <c r="I800" s="3"/>
      <c r="J800" s="7" t="n">
        <f aca="false">LEN(E800)-SUMPRODUCT(LEN(E800)-LEN(SUBSTITUTE(E800,{"，","。","？","！","、","…","；","：","《","》"," ","“","”","—","（","）","·"},"")))</f>
        <v>29</v>
      </c>
      <c r="K800" s="23"/>
    </row>
    <row r="801" customFormat="false" ht="36" hidden="false" customHeight="true" outlineLevel="0" collapsed="false">
      <c r="A801" s="7" t="s">
        <v>179</v>
      </c>
      <c r="B801" s="15" t="n">
        <v>6</v>
      </c>
      <c r="C801" s="7" t="n">
        <v>17</v>
      </c>
      <c r="D801" s="22" t="s">
        <v>232</v>
      </c>
      <c r="E801" s="4" t="s">
        <v>1610</v>
      </c>
      <c r="F801" s="23"/>
      <c r="G801" s="22" t="s">
        <v>32</v>
      </c>
      <c r="H801" s="3"/>
      <c r="I801" s="3"/>
      <c r="J801" s="7" t="n">
        <f aca="false">LEN(E801)-SUMPRODUCT(LEN(E801)-LEN(SUBSTITUTE(E801,{"，","。","？","！","、","…","；","：","《","》"," ","“","”","—","（","）","·"},"")))</f>
        <v>27</v>
      </c>
      <c r="K801" s="23"/>
    </row>
    <row r="802" customFormat="false" ht="36" hidden="false" customHeight="true" outlineLevel="0" collapsed="false">
      <c r="A802" s="7" t="s">
        <v>179</v>
      </c>
      <c r="B802" s="15" t="n">
        <v>6</v>
      </c>
      <c r="C802" s="7" t="n">
        <v>18</v>
      </c>
      <c r="D802" s="22" t="s">
        <v>232</v>
      </c>
      <c r="E802" s="4" t="s">
        <v>1611</v>
      </c>
      <c r="F802" s="23"/>
      <c r="G802" s="22" t="s">
        <v>30</v>
      </c>
      <c r="H802" s="3"/>
      <c r="I802" s="3"/>
      <c r="J802" s="7" t="n">
        <f aca="false">LEN(E802)-SUMPRODUCT(LEN(E802)-LEN(SUBSTITUTE(E802,{"，","。","？","！","、","…","；","：","《","》"," ","“","”","—","（","）","·"},"")))</f>
        <v>25</v>
      </c>
      <c r="K802" s="23"/>
    </row>
    <row r="803" customFormat="false" ht="36" hidden="false" customHeight="true" outlineLevel="0" collapsed="false">
      <c r="A803" s="7" t="s">
        <v>179</v>
      </c>
      <c r="B803" s="15" t="n">
        <v>6</v>
      </c>
      <c r="C803" s="7" t="n">
        <v>19</v>
      </c>
      <c r="D803" s="22" t="s">
        <v>219</v>
      </c>
      <c r="E803" s="4" t="s">
        <v>1612</v>
      </c>
      <c r="F803" s="23"/>
      <c r="G803" s="22" t="s">
        <v>38</v>
      </c>
      <c r="H803" s="3"/>
      <c r="I803" s="3"/>
      <c r="J803" s="7" t="n">
        <f aca="false">LEN(E803)-SUMPRODUCT(LEN(E803)-LEN(SUBSTITUTE(E803,{"，","。","？","！","、","…","；","：","《","》"," ","“","”","—","（","）","·"},"")))</f>
        <v>23</v>
      </c>
      <c r="K803" s="23"/>
    </row>
    <row r="804" customFormat="false" ht="36" hidden="false" customHeight="true" outlineLevel="0" collapsed="false">
      <c r="A804" s="7" t="s">
        <v>179</v>
      </c>
      <c r="B804" s="15" t="n">
        <v>6</v>
      </c>
      <c r="C804" s="7" t="n">
        <v>20</v>
      </c>
      <c r="D804" s="22" t="s">
        <v>219</v>
      </c>
      <c r="E804" s="4" t="s">
        <v>1613</v>
      </c>
      <c r="F804" s="23"/>
      <c r="G804" s="22" t="s">
        <v>38</v>
      </c>
      <c r="H804" s="3" t="s">
        <v>1614</v>
      </c>
      <c r="I804" s="3"/>
      <c r="J804" s="7" t="n">
        <f aca="false">LEN(E804)-SUMPRODUCT(LEN(E804)-LEN(SUBSTITUTE(E804,{"，","。","？","！","、","…","；","：","《","》"," ","“","”","—","（","）","·"},"")))</f>
        <v>22</v>
      </c>
      <c r="K804" s="23"/>
    </row>
    <row r="805" customFormat="false" ht="36" hidden="false" customHeight="true" outlineLevel="0" collapsed="false">
      <c r="A805" s="7" t="s">
        <v>179</v>
      </c>
      <c r="B805" s="15" t="n">
        <v>6</v>
      </c>
      <c r="C805" s="7" t="n">
        <v>21</v>
      </c>
      <c r="D805" s="22" t="s">
        <v>219</v>
      </c>
      <c r="E805" s="4" t="s">
        <v>1615</v>
      </c>
      <c r="F805" s="23"/>
      <c r="G805" s="22" t="s">
        <v>38</v>
      </c>
      <c r="H805" s="3"/>
      <c r="I805" s="3"/>
      <c r="J805" s="7" t="n">
        <f aca="false">LEN(E805)-SUMPRODUCT(LEN(E805)-LEN(SUBSTITUTE(E805,{"，","。","？","！","、","…","；","：","《","》"," ","“","”","—","（","）","·"},"")))</f>
        <v>26</v>
      </c>
      <c r="K805" s="23"/>
    </row>
    <row r="806" customFormat="false" ht="36" hidden="false" customHeight="true" outlineLevel="0" collapsed="false">
      <c r="A806" s="7" t="s">
        <v>179</v>
      </c>
      <c r="B806" s="15" t="n">
        <v>6</v>
      </c>
      <c r="C806" s="7" t="n">
        <v>22</v>
      </c>
      <c r="D806" s="22" t="s">
        <v>219</v>
      </c>
      <c r="E806" s="4" t="s">
        <v>1616</v>
      </c>
      <c r="F806" s="23"/>
      <c r="G806" s="22" t="s">
        <v>38</v>
      </c>
      <c r="H806" s="3"/>
      <c r="I806" s="3"/>
      <c r="J806" s="7" t="n">
        <f aca="false">LEN(E806)-SUMPRODUCT(LEN(E806)-LEN(SUBSTITUTE(E806,{"，","。","？","！","、","…","；","：","《","》"," ","“","”","—","（","）","·"},"")))</f>
        <v>29</v>
      </c>
      <c r="K806" s="23"/>
    </row>
    <row r="807" customFormat="false" ht="36" hidden="false" customHeight="true" outlineLevel="0" collapsed="false">
      <c r="A807" s="7" t="s">
        <v>179</v>
      </c>
      <c r="B807" s="15" t="n">
        <v>6</v>
      </c>
      <c r="C807" s="7" t="n">
        <v>23</v>
      </c>
      <c r="D807" s="22" t="s">
        <v>232</v>
      </c>
      <c r="E807" s="4" t="s">
        <v>1617</v>
      </c>
      <c r="F807" s="23"/>
      <c r="G807" s="22" t="s">
        <v>34</v>
      </c>
      <c r="H807" s="3"/>
      <c r="I807" s="3"/>
      <c r="J807" s="7" t="n">
        <f aca="false">LEN(E807)-SUMPRODUCT(LEN(E807)-LEN(SUBSTITUTE(E807,{"，","。","？","！","、","…","；","：","《","》"," ","“","”","—","（","）","·"},"")))</f>
        <v>14</v>
      </c>
      <c r="K807" s="23"/>
    </row>
    <row r="808" customFormat="false" ht="36" hidden="false" customHeight="true" outlineLevel="0" collapsed="false">
      <c r="A808" s="7" t="s">
        <v>179</v>
      </c>
      <c r="B808" s="15" t="n">
        <v>6</v>
      </c>
      <c r="C808" s="7" t="n">
        <v>24</v>
      </c>
      <c r="D808" s="22" t="s">
        <v>219</v>
      </c>
      <c r="E808" s="4" t="s">
        <v>1618</v>
      </c>
      <c r="F808" s="23"/>
      <c r="G808" s="22" t="s">
        <v>34</v>
      </c>
      <c r="H808" s="3"/>
      <c r="I808" s="3"/>
      <c r="J808" s="7" t="n">
        <f aca="false">LEN(E808)-SUMPRODUCT(LEN(E808)-LEN(SUBSTITUTE(E808,{"，","。","？","！","、","…","；","：","《","》"," ","“","”","—","（","）","·"},"")))</f>
        <v>16</v>
      </c>
      <c r="K808" s="23"/>
    </row>
    <row r="809" customFormat="false" ht="36" hidden="false" customHeight="true" outlineLevel="0" collapsed="false">
      <c r="A809" s="7" t="s">
        <v>179</v>
      </c>
      <c r="B809" s="15" t="n">
        <v>6</v>
      </c>
      <c r="C809" s="7" t="n">
        <v>25</v>
      </c>
      <c r="D809" s="22" t="s">
        <v>219</v>
      </c>
      <c r="E809" s="4" t="s">
        <v>1619</v>
      </c>
      <c r="F809" s="23"/>
      <c r="G809" s="22" t="s">
        <v>38</v>
      </c>
      <c r="H809" s="3"/>
      <c r="I809" s="3"/>
      <c r="J809" s="7" t="n">
        <f aca="false">LEN(E809)-SUMPRODUCT(LEN(E809)-LEN(SUBSTITUTE(E809,{"，","。","？","！","、","…","；","：","《","》"," ","“","”","—","（","）","·"},"")))</f>
        <v>17</v>
      </c>
      <c r="K809" s="23"/>
    </row>
    <row r="810" customFormat="false" ht="21" hidden="false" customHeight="true" outlineLevel="0" collapsed="false">
      <c r="A810" s="7" t="s">
        <v>179</v>
      </c>
      <c r="B810" s="15" t="n">
        <v>6</v>
      </c>
      <c r="C810" s="7" t="n">
        <v>26</v>
      </c>
      <c r="D810" s="22" t="s">
        <v>232</v>
      </c>
      <c r="E810" s="4" t="s">
        <v>1620</v>
      </c>
      <c r="F810" s="23"/>
      <c r="G810" s="22" t="s">
        <v>42</v>
      </c>
      <c r="H810" s="3"/>
      <c r="I810" s="4" t="s">
        <v>1472</v>
      </c>
      <c r="J810" s="7" t="n">
        <f aca="false">LEN(E810)-SUMPRODUCT(LEN(E810)-LEN(SUBSTITUTE(E810,{"，","。","？","！","、","…","；","：","《","》"," ","“","”","—","（","）","·"},"")))</f>
        <v>11</v>
      </c>
      <c r="K810" s="23"/>
    </row>
    <row r="811" customFormat="false" ht="66" hidden="false" customHeight="true" outlineLevel="0" collapsed="false">
      <c r="A811" s="7" t="s">
        <v>179</v>
      </c>
      <c r="B811" s="15" t="n">
        <v>6</v>
      </c>
      <c r="C811" s="7" t="n">
        <v>27</v>
      </c>
      <c r="D811" s="22" t="s">
        <v>232</v>
      </c>
      <c r="E811" s="4" t="s">
        <v>1621</v>
      </c>
      <c r="F811" s="23"/>
      <c r="G811" s="22" t="s">
        <v>36</v>
      </c>
      <c r="H811" s="3"/>
      <c r="I811" s="3"/>
      <c r="J811" s="7" t="n">
        <f aca="false">LEN(E811)-SUMPRODUCT(LEN(E811)-LEN(SUBSTITUTE(E811,{"，","。","？","！","、","…","；","：","《","》"," ","“","”","—","（","）","·"},"")))</f>
        <v>34</v>
      </c>
      <c r="K811" s="23" t="s">
        <v>1604</v>
      </c>
    </row>
    <row r="812" customFormat="false" ht="36" hidden="false" customHeight="true" outlineLevel="0" collapsed="false">
      <c r="A812" s="7" t="s">
        <v>179</v>
      </c>
      <c r="B812" s="15" t="n">
        <v>6</v>
      </c>
      <c r="C812" s="7" t="n">
        <v>28</v>
      </c>
      <c r="D812" s="22" t="s">
        <v>232</v>
      </c>
      <c r="E812" s="4" t="s">
        <v>1622</v>
      </c>
      <c r="F812" s="23"/>
      <c r="G812" s="22" t="s">
        <v>36</v>
      </c>
      <c r="H812" s="3" t="s">
        <v>383</v>
      </c>
      <c r="I812" s="4" t="s">
        <v>1518</v>
      </c>
      <c r="J812" s="7" t="n">
        <f aca="false">LEN(E812)-SUMPRODUCT(LEN(E812)-LEN(SUBSTITUTE(E812,{"，","。","？","！","、","…","；","：","《","》"," ","“","”","—","（","）","·"},"")))</f>
        <v>32</v>
      </c>
      <c r="K812" s="23"/>
    </row>
    <row r="813" customFormat="false" ht="36" hidden="false" customHeight="true" outlineLevel="0" collapsed="false">
      <c r="A813" s="7" t="s">
        <v>179</v>
      </c>
      <c r="B813" s="15" t="n">
        <v>6</v>
      </c>
      <c r="C813" s="7" t="n">
        <v>29</v>
      </c>
      <c r="D813" s="22" t="s">
        <v>232</v>
      </c>
      <c r="E813" s="4" t="s">
        <v>1623</v>
      </c>
      <c r="F813" s="23"/>
      <c r="G813" s="22" t="s">
        <v>36</v>
      </c>
      <c r="H813" s="3"/>
      <c r="I813" s="3"/>
      <c r="J813" s="7" t="n">
        <f aca="false">LEN(E813)-SUMPRODUCT(LEN(E813)-LEN(SUBSTITUTE(E813,{"，","。","？","！","、","…","；","：","《","》"," ","“","”","—","（","）","·"},"")))</f>
        <v>22</v>
      </c>
      <c r="K813" s="23"/>
    </row>
    <row r="814" customFormat="false" ht="36" hidden="false" customHeight="true" outlineLevel="0" collapsed="false">
      <c r="A814" s="7" t="s">
        <v>179</v>
      </c>
      <c r="B814" s="15" t="n">
        <v>6</v>
      </c>
      <c r="C814" s="7" t="n">
        <v>30</v>
      </c>
      <c r="D814" s="22" t="s">
        <v>219</v>
      </c>
      <c r="E814" s="4" t="s">
        <v>1624</v>
      </c>
      <c r="F814" s="23"/>
      <c r="G814" s="22" t="s">
        <v>36</v>
      </c>
      <c r="H814" s="3"/>
      <c r="I814" s="3"/>
      <c r="J814" s="7" t="n">
        <f aca="false">LEN(E814)-SUMPRODUCT(LEN(E814)-LEN(SUBSTITUTE(E814,{"，","。","？","！","、","…","；","：","《","》"," ","“","”","—","（","）","·"},"")))</f>
        <v>16</v>
      </c>
      <c r="K814" s="23"/>
    </row>
    <row r="815" customFormat="false" ht="36" hidden="false" customHeight="true" outlineLevel="0" collapsed="false">
      <c r="A815" s="7" t="s">
        <v>179</v>
      </c>
      <c r="B815" s="15" t="n">
        <v>6</v>
      </c>
      <c r="C815" s="7" t="n">
        <v>31</v>
      </c>
      <c r="D815" s="22" t="s">
        <v>232</v>
      </c>
      <c r="E815" s="4" t="s">
        <v>1625</v>
      </c>
      <c r="F815" s="23"/>
      <c r="G815" s="22" t="s">
        <v>30</v>
      </c>
      <c r="H815" s="3"/>
      <c r="I815" s="3"/>
      <c r="J815" s="7" t="n">
        <f aca="false">LEN(E815)-SUMPRODUCT(LEN(E815)-LEN(SUBSTITUTE(E815,{"，","。","？","！","、","…","；","：","《","》"," ","“","”","—","（","）","·"},"")))</f>
        <v>28</v>
      </c>
      <c r="K815" s="23"/>
    </row>
    <row r="816" customFormat="false" ht="36" hidden="false" customHeight="true" outlineLevel="0" collapsed="false">
      <c r="A816" s="7" t="s">
        <v>179</v>
      </c>
      <c r="B816" s="15" t="n">
        <v>6</v>
      </c>
      <c r="C816" s="7" t="n">
        <v>32</v>
      </c>
      <c r="D816" s="22" t="s">
        <v>219</v>
      </c>
      <c r="E816" s="4" t="s">
        <v>1626</v>
      </c>
      <c r="F816" s="23" t="s">
        <v>305</v>
      </c>
      <c r="G816" s="22" t="s">
        <v>30</v>
      </c>
      <c r="H816" s="3"/>
      <c r="I816" s="3"/>
      <c r="J816" s="7" t="n">
        <f aca="false">LEN(E816)-SUMPRODUCT(LEN(E816)-LEN(SUBSTITUTE(E816,{"，","。","？","！","、","…","；","：","《","》"," ","“","”","—","（","）","·"},"")))</f>
        <v>6</v>
      </c>
      <c r="K816" s="23"/>
    </row>
    <row r="817" customFormat="false" ht="36" hidden="false" customHeight="true" outlineLevel="0" collapsed="false">
      <c r="A817" s="7" t="s">
        <v>179</v>
      </c>
      <c r="B817" s="15" t="n">
        <v>6</v>
      </c>
      <c r="C817" s="7" t="n">
        <v>33</v>
      </c>
      <c r="D817" s="22" t="s">
        <v>219</v>
      </c>
      <c r="E817" s="4" t="s">
        <v>1627</v>
      </c>
      <c r="F817" s="23"/>
      <c r="G817" s="22" t="s">
        <v>30</v>
      </c>
      <c r="H817" s="3"/>
      <c r="I817" s="3"/>
      <c r="J817" s="7" t="n">
        <f aca="false">LEN(E817)-SUMPRODUCT(LEN(E817)-LEN(SUBSTITUTE(E817,{"，","。","？","！","、","…","；","：","《","》"," ","“","”","—","（","）","·"},"")))</f>
        <v>33</v>
      </c>
      <c r="K817" s="23"/>
    </row>
    <row r="818" customFormat="false" ht="36" hidden="false" customHeight="true" outlineLevel="0" collapsed="false">
      <c r="A818" s="7" t="s">
        <v>179</v>
      </c>
      <c r="B818" s="15" t="n">
        <v>6</v>
      </c>
      <c r="C818" s="7" t="n">
        <v>34</v>
      </c>
      <c r="D818" s="22" t="s">
        <v>219</v>
      </c>
      <c r="E818" s="4" t="s">
        <v>1628</v>
      </c>
      <c r="F818" s="23"/>
      <c r="G818" s="22" t="s">
        <v>34</v>
      </c>
      <c r="H818" s="3"/>
      <c r="I818" s="3"/>
      <c r="J818" s="7" t="n">
        <f aca="false">LEN(E818)-SUMPRODUCT(LEN(E818)-LEN(SUBSTITUTE(E818,{"，","。","？","！","、","…","；","：","《","》"," ","“","”","—","（","）","·"},"")))</f>
        <v>27</v>
      </c>
      <c r="K818" s="23"/>
    </row>
    <row r="819" customFormat="false" ht="36" hidden="false" customHeight="true" outlineLevel="0" collapsed="false">
      <c r="A819" s="7" t="s">
        <v>179</v>
      </c>
      <c r="B819" s="15" t="n">
        <v>6</v>
      </c>
      <c r="C819" s="7" t="n">
        <v>35</v>
      </c>
      <c r="D819" s="22" t="s">
        <v>219</v>
      </c>
      <c r="E819" s="4" t="s">
        <v>1629</v>
      </c>
      <c r="F819" s="23"/>
      <c r="G819" s="22" t="s">
        <v>36</v>
      </c>
      <c r="H819" s="3"/>
      <c r="I819" s="3"/>
      <c r="J819" s="7" t="n">
        <f aca="false">LEN(E819)-SUMPRODUCT(LEN(E819)-LEN(SUBSTITUTE(E819,{"，","。","？","！","、","…","；","：","《","》"," ","“","”","—","（","）","·"},"")))</f>
        <v>24</v>
      </c>
      <c r="K819" s="23"/>
    </row>
    <row r="820" customFormat="false" ht="21" hidden="false" customHeight="true" outlineLevel="0" collapsed="false">
      <c r="A820" s="7" t="s">
        <v>179</v>
      </c>
      <c r="B820" s="15" t="n">
        <v>6</v>
      </c>
      <c r="C820" s="7" t="n">
        <v>36</v>
      </c>
      <c r="D820" s="22" t="s">
        <v>232</v>
      </c>
      <c r="E820" s="4" t="s">
        <v>1630</v>
      </c>
      <c r="F820" s="23"/>
      <c r="G820" s="22" t="s">
        <v>42</v>
      </c>
      <c r="H820" s="3"/>
      <c r="I820" s="3"/>
      <c r="J820" s="7" t="n">
        <f aca="false">LEN(E820)-SUMPRODUCT(LEN(E820)-LEN(SUBSTITUTE(E820,{"，","。","？","！","、","…","；","：","《","》"," ","“","”","—","（","）","·"},"")))</f>
        <v>19</v>
      </c>
      <c r="K820" s="23"/>
    </row>
    <row r="821" customFormat="false" ht="36" hidden="false" customHeight="true" outlineLevel="0" collapsed="false">
      <c r="A821" s="7" t="s">
        <v>179</v>
      </c>
      <c r="B821" s="15" t="n">
        <v>6</v>
      </c>
      <c r="C821" s="7" t="n">
        <v>37</v>
      </c>
      <c r="D821" s="22" t="s">
        <v>219</v>
      </c>
      <c r="E821" s="4" t="s">
        <v>1631</v>
      </c>
      <c r="F821" s="23"/>
      <c r="G821" s="22" t="s">
        <v>36</v>
      </c>
      <c r="H821" s="3"/>
      <c r="I821" s="3"/>
      <c r="J821" s="7" t="n">
        <f aca="false">LEN(E821)-SUMPRODUCT(LEN(E821)-LEN(SUBSTITUTE(E821,{"，","。","？","！","、","…","；","：","《","》"," ","“","”","—","（","）","·"},"")))</f>
        <v>15</v>
      </c>
      <c r="K821" s="23"/>
    </row>
    <row r="822" customFormat="false" ht="36" hidden="false" customHeight="true" outlineLevel="0" collapsed="false">
      <c r="A822" s="7" t="s">
        <v>179</v>
      </c>
      <c r="B822" s="15" t="n">
        <v>6</v>
      </c>
      <c r="C822" s="7" t="n">
        <v>38</v>
      </c>
      <c r="D822" s="22" t="s">
        <v>222</v>
      </c>
      <c r="E822" s="4" t="s">
        <v>1632</v>
      </c>
      <c r="F822" s="23" t="s">
        <v>1633</v>
      </c>
      <c r="G822" s="22" t="s">
        <v>42</v>
      </c>
      <c r="H822" s="3"/>
      <c r="I822" s="4" t="s">
        <v>1472</v>
      </c>
      <c r="J822" s="7" t="n">
        <f aca="false">LEN(E822)-SUMPRODUCT(LEN(E822)-LEN(SUBSTITUTE(E822,{"，","。","？","！","、","…","；","：","《","》"," ","“","”","—","（","）","·"},"")))</f>
        <v>15</v>
      </c>
      <c r="K822" s="23"/>
    </row>
    <row r="823" customFormat="false" ht="36" hidden="false" customHeight="true" outlineLevel="0" collapsed="false">
      <c r="A823" s="7" t="s">
        <v>179</v>
      </c>
      <c r="B823" s="15" t="n">
        <v>6</v>
      </c>
      <c r="C823" s="7" t="n">
        <v>39</v>
      </c>
      <c r="D823" s="22" t="s">
        <v>219</v>
      </c>
      <c r="E823" s="4" t="s">
        <v>1634</v>
      </c>
      <c r="F823" s="23"/>
      <c r="G823" s="22" t="s">
        <v>40</v>
      </c>
      <c r="H823" s="3"/>
      <c r="I823" s="3"/>
      <c r="J823" s="7" t="n">
        <f aca="false">LEN(E823)-SUMPRODUCT(LEN(E823)-LEN(SUBSTITUTE(E823,{"，","。","？","！","、","…","；","：","《","》"," ","“","”","—","（","）","·"},"")))</f>
        <v>16</v>
      </c>
      <c r="K823" s="23"/>
    </row>
    <row r="824" customFormat="false" ht="36" hidden="false" customHeight="true" outlineLevel="0" collapsed="false">
      <c r="A824" s="7" t="s">
        <v>179</v>
      </c>
      <c r="B824" s="15" t="n">
        <v>6</v>
      </c>
      <c r="C824" s="7" t="n">
        <v>40</v>
      </c>
      <c r="D824" s="22" t="s">
        <v>219</v>
      </c>
      <c r="E824" s="4" t="s">
        <v>1635</v>
      </c>
      <c r="F824" s="23"/>
      <c r="G824" s="22" t="s">
        <v>40</v>
      </c>
      <c r="H824" s="3" t="s">
        <v>1636</v>
      </c>
      <c r="I824" s="3"/>
      <c r="J824" s="7" t="n">
        <f aca="false">LEN(E824)-SUMPRODUCT(LEN(E824)-LEN(SUBSTITUTE(E824,{"，","。","？","！","、","…","；","：","《","》"," ","“","”","—","（","）","·"},"")))</f>
        <v>22</v>
      </c>
      <c r="K824" s="23"/>
    </row>
    <row r="825" customFormat="false" ht="36" hidden="false" customHeight="true" outlineLevel="0" collapsed="false">
      <c r="A825" s="7" t="s">
        <v>179</v>
      </c>
      <c r="B825" s="15" t="n">
        <v>6</v>
      </c>
      <c r="C825" s="7" t="n">
        <v>41</v>
      </c>
      <c r="D825" s="22" t="s">
        <v>219</v>
      </c>
      <c r="E825" s="4" t="s">
        <v>1637</v>
      </c>
      <c r="F825" s="23"/>
      <c r="G825" s="22" t="s">
        <v>40</v>
      </c>
      <c r="H825" s="3"/>
      <c r="I825" s="4" t="s">
        <v>512</v>
      </c>
      <c r="J825" s="7" t="n">
        <f aca="false">LEN(E825)-SUMPRODUCT(LEN(E825)-LEN(SUBSTITUTE(E825,{"，","。","？","！","、","…","；","：","《","》"," ","“","”","—","（","）","·"},"")))</f>
        <v>27</v>
      </c>
      <c r="K825" s="23"/>
    </row>
    <row r="826" customFormat="false" ht="21" hidden="false" customHeight="true" outlineLevel="0" collapsed="false">
      <c r="A826" s="7" t="s">
        <v>179</v>
      </c>
      <c r="B826" s="15" t="n">
        <v>6</v>
      </c>
      <c r="C826" s="7" t="n">
        <v>42</v>
      </c>
      <c r="D826" s="22" t="s">
        <v>222</v>
      </c>
      <c r="E826" s="4" t="s">
        <v>1638</v>
      </c>
      <c r="F826" s="23"/>
      <c r="G826" s="22" t="s">
        <v>42</v>
      </c>
      <c r="H826" s="3"/>
      <c r="I826" s="3"/>
      <c r="J826" s="7" t="n">
        <f aca="false">LEN(E826)-SUMPRODUCT(LEN(E826)-LEN(SUBSTITUTE(E826,{"，","。","？","！","、","…","；","：","《","》"," ","“","”","—","（","）","·"},"")))</f>
        <v>11</v>
      </c>
      <c r="K826" s="23"/>
    </row>
    <row r="827" customFormat="false" ht="36" hidden="false" customHeight="true" outlineLevel="0" collapsed="false">
      <c r="A827" s="7" t="s">
        <v>184</v>
      </c>
      <c r="B827" s="15" t="n">
        <v>7</v>
      </c>
      <c r="C827" s="7" t="n">
        <v>1</v>
      </c>
      <c r="D827" s="22" t="s">
        <v>222</v>
      </c>
      <c r="E827" s="4" t="s">
        <v>1639</v>
      </c>
      <c r="F827" s="23" t="s">
        <v>1640</v>
      </c>
      <c r="G827" s="22" t="s">
        <v>36</v>
      </c>
      <c r="H827" s="3" t="s">
        <v>1641</v>
      </c>
      <c r="I827" s="4" t="s">
        <v>1642</v>
      </c>
      <c r="J827" s="7" t="n">
        <f aca="false">LEN(E827)-SUMPRODUCT(LEN(E827)-LEN(SUBSTITUTE(E827,{"，","。","？","！","、","…","；","：","《","》"," ","“","”","—","（","）","·"},"")))</f>
        <v>16</v>
      </c>
      <c r="K827" s="23"/>
    </row>
    <row r="828" customFormat="false" ht="21" hidden="false" customHeight="true" outlineLevel="0" collapsed="false">
      <c r="A828" s="7" t="s">
        <v>184</v>
      </c>
      <c r="B828" s="15" t="n">
        <v>7</v>
      </c>
      <c r="C828" s="7" t="n">
        <v>2</v>
      </c>
      <c r="D828" s="22" t="s">
        <v>229</v>
      </c>
      <c r="E828" s="4" t="s">
        <v>1643</v>
      </c>
      <c r="F828" s="23"/>
      <c r="G828" s="22" t="s">
        <v>42</v>
      </c>
      <c r="H828" s="3" t="s">
        <v>1644</v>
      </c>
      <c r="I828" s="3"/>
      <c r="J828" s="7" t="n">
        <f aca="false">LEN(E828)-SUMPRODUCT(LEN(E828)-LEN(SUBSTITUTE(E828,{"，","。","？","！","、","…","；","：","《","》"," ","“","”","—","（","）","·"},"")))</f>
        <v>19</v>
      </c>
      <c r="K828" s="23"/>
    </row>
    <row r="829" customFormat="false" ht="36" hidden="false" customHeight="true" outlineLevel="0" collapsed="false">
      <c r="A829" s="7" t="s">
        <v>184</v>
      </c>
      <c r="B829" s="15" t="n">
        <v>7</v>
      </c>
      <c r="C829" s="7" t="n">
        <v>3</v>
      </c>
      <c r="D829" s="22" t="s">
        <v>232</v>
      </c>
      <c r="E829" s="4" t="s">
        <v>1645</v>
      </c>
      <c r="F829" s="23"/>
      <c r="G829" s="22" t="s">
        <v>36</v>
      </c>
      <c r="H829" s="3" t="s">
        <v>1646</v>
      </c>
      <c r="I829" s="3"/>
      <c r="J829" s="7" t="n">
        <f aca="false">LEN(E829)-SUMPRODUCT(LEN(E829)-LEN(SUBSTITUTE(E829,{"，","。","？","！","、","…","；","：","《","》"," ","“","”","—","（","）","·"},"")))</f>
        <v>27</v>
      </c>
      <c r="K829" s="23"/>
    </row>
    <row r="830" customFormat="false" ht="21" hidden="false" customHeight="true" outlineLevel="0" collapsed="false">
      <c r="A830" s="7" t="s">
        <v>184</v>
      </c>
      <c r="B830" s="15" t="n">
        <v>7</v>
      </c>
      <c r="C830" s="7" t="n">
        <v>4</v>
      </c>
      <c r="D830" s="22" t="s">
        <v>229</v>
      </c>
      <c r="E830" s="4" t="s">
        <v>1647</v>
      </c>
      <c r="F830" s="23" t="s">
        <v>1648</v>
      </c>
      <c r="G830" s="22" t="s">
        <v>42</v>
      </c>
      <c r="H830" s="3"/>
      <c r="I830" s="3"/>
      <c r="J830" s="7" t="n">
        <f aca="false">LEN(E830)-SUMPRODUCT(LEN(E830)-LEN(SUBSTITUTE(E830,{"，","。","？","！","、","…","；","：","《","》"," ","“","”","—","（","）","·"},"")))</f>
        <v>9</v>
      </c>
      <c r="K830" s="23"/>
    </row>
    <row r="831" customFormat="false" ht="21" hidden="false" customHeight="true" outlineLevel="0" collapsed="false">
      <c r="A831" s="7" t="s">
        <v>184</v>
      </c>
      <c r="B831" s="15" t="n">
        <v>7</v>
      </c>
      <c r="C831" s="7" t="n">
        <v>5</v>
      </c>
      <c r="D831" s="22" t="s">
        <v>229</v>
      </c>
      <c r="E831" s="4" t="s">
        <v>1649</v>
      </c>
      <c r="F831" s="23" t="s">
        <v>1650</v>
      </c>
      <c r="G831" s="22" t="s">
        <v>42</v>
      </c>
      <c r="H831" s="3"/>
      <c r="I831" s="4" t="s">
        <v>1651</v>
      </c>
      <c r="J831" s="7" t="n">
        <f aca="false">LEN(E831)-SUMPRODUCT(LEN(E831)-LEN(SUBSTITUTE(E831,{"，","。","？","！","、","…","；","：","《","》"," ","“","”","—","（","）","·"},"")))</f>
        <v>21</v>
      </c>
      <c r="K831" s="23"/>
    </row>
    <row r="832" customFormat="false" ht="36" hidden="false" customHeight="true" outlineLevel="0" collapsed="false">
      <c r="A832" s="7" t="s">
        <v>184</v>
      </c>
      <c r="B832" s="15" t="n">
        <v>7</v>
      </c>
      <c r="C832" s="7" t="n">
        <v>6</v>
      </c>
      <c r="D832" s="22" t="s">
        <v>219</v>
      </c>
      <c r="E832" s="4" t="s">
        <v>1652</v>
      </c>
      <c r="F832" s="23" t="s">
        <v>1653</v>
      </c>
      <c r="G832" s="22" t="s">
        <v>36</v>
      </c>
      <c r="H832" s="3"/>
      <c r="I832" s="3"/>
      <c r="J832" s="7" t="n">
        <f aca="false">LEN(E832)-SUMPRODUCT(LEN(E832)-LEN(SUBSTITUTE(E832,{"，","。","？","！","、","…","；","：","《","》"," ","“","”","—","（","）","·"},"")))</f>
        <v>16</v>
      </c>
      <c r="K832" s="23"/>
    </row>
    <row r="833" customFormat="false" ht="36" hidden="false" customHeight="true" outlineLevel="0" collapsed="false">
      <c r="A833" s="7" t="s">
        <v>184</v>
      </c>
      <c r="B833" s="15" t="n">
        <v>7</v>
      </c>
      <c r="C833" s="7" t="n">
        <v>7</v>
      </c>
      <c r="D833" s="22" t="s">
        <v>232</v>
      </c>
      <c r="E833" s="4" t="s">
        <v>1654</v>
      </c>
      <c r="F833" s="23" t="s">
        <v>1655</v>
      </c>
      <c r="G833" s="22" t="s">
        <v>36</v>
      </c>
      <c r="H833" s="3" t="s">
        <v>616</v>
      </c>
      <c r="I833" s="3"/>
      <c r="J833" s="7" t="n">
        <f aca="false">LEN(E833)-SUMPRODUCT(LEN(E833)-LEN(SUBSTITUTE(E833,{"，","。","？","！","、","…","；","：","《","》"," ","“","”","—","（","）","·"},"")))</f>
        <v>14</v>
      </c>
      <c r="K833" s="23"/>
    </row>
    <row r="834" customFormat="false" ht="21" hidden="false" customHeight="true" outlineLevel="0" collapsed="false">
      <c r="A834" s="7" t="s">
        <v>184</v>
      </c>
      <c r="B834" s="15" t="n">
        <v>7</v>
      </c>
      <c r="C834" s="7" t="n">
        <v>8</v>
      </c>
      <c r="D834" s="22" t="s">
        <v>229</v>
      </c>
      <c r="E834" s="4" t="s">
        <v>1656</v>
      </c>
      <c r="F834" s="23"/>
      <c r="G834" s="22" t="s">
        <v>42</v>
      </c>
      <c r="H834" s="3"/>
      <c r="I834" s="3"/>
      <c r="J834" s="7" t="n">
        <f aca="false">LEN(E834)-SUMPRODUCT(LEN(E834)-LEN(SUBSTITUTE(E834,{"，","。","？","！","、","…","；","：","《","》"," ","“","”","—","（","）","·"},"")))</f>
        <v>21</v>
      </c>
      <c r="K834" s="23"/>
    </row>
    <row r="835" customFormat="false" ht="36" hidden="false" customHeight="true" outlineLevel="0" collapsed="false">
      <c r="A835" s="7" t="s">
        <v>184</v>
      </c>
      <c r="B835" s="15" t="n">
        <v>7</v>
      </c>
      <c r="C835" s="7" t="n">
        <v>9</v>
      </c>
      <c r="D835" s="22" t="s">
        <v>219</v>
      </c>
      <c r="E835" s="4" t="s">
        <v>1657</v>
      </c>
      <c r="F835" s="23" t="s">
        <v>1658</v>
      </c>
      <c r="G835" s="22" t="s">
        <v>36</v>
      </c>
      <c r="H835" s="3"/>
      <c r="I835" s="3"/>
      <c r="J835" s="7" t="n">
        <f aca="false">LEN(E835)-SUMPRODUCT(LEN(E835)-LEN(SUBSTITUTE(E835,{"，","。","？","！","、","…","；","：","《","》"," ","“","”","—","（","）","·"},"")))</f>
        <v>17</v>
      </c>
      <c r="K835" s="23"/>
    </row>
    <row r="836" customFormat="false" ht="36" hidden="false" customHeight="true" outlineLevel="0" collapsed="false">
      <c r="A836" s="7" t="s">
        <v>184</v>
      </c>
      <c r="B836" s="15" t="n">
        <v>7</v>
      </c>
      <c r="C836" s="7" t="n">
        <v>10</v>
      </c>
      <c r="D836" s="22" t="s">
        <v>222</v>
      </c>
      <c r="E836" s="4" t="s">
        <v>1659</v>
      </c>
      <c r="F836" s="23"/>
      <c r="G836" s="22" t="s">
        <v>36</v>
      </c>
      <c r="H836" s="3" t="s">
        <v>1660</v>
      </c>
      <c r="I836" s="4" t="s">
        <v>1642</v>
      </c>
      <c r="J836" s="7" t="n">
        <f aca="false">LEN(E836)-SUMPRODUCT(LEN(E836)-LEN(SUBSTITUTE(E836,{"，","。","？","！","、","…","；","：","《","》"," ","“","”","—","（","）","·"},"")))</f>
        <v>30</v>
      </c>
      <c r="K836" s="23"/>
    </row>
    <row r="837" customFormat="false" ht="36" hidden="false" customHeight="true" outlineLevel="0" collapsed="false">
      <c r="A837" s="7" t="s">
        <v>184</v>
      </c>
      <c r="B837" s="15" t="n">
        <v>7</v>
      </c>
      <c r="C837" s="7" t="n">
        <v>11</v>
      </c>
      <c r="D837" s="22" t="s">
        <v>219</v>
      </c>
      <c r="E837" s="4" t="s">
        <v>1661</v>
      </c>
      <c r="F837" s="23"/>
      <c r="G837" s="22" t="s">
        <v>36</v>
      </c>
      <c r="H837" s="3"/>
      <c r="I837" s="3"/>
      <c r="J837" s="7" t="n">
        <f aca="false">LEN(E837)-SUMPRODUCT(LEN(E837)-LEN(SUBSTITUTE(E837,{"，","。","？","！","、","…","；","：","《","》"," ","“","”","—","（","）","·"},"")))</f>
        <v>17</v>
      </c>
      <c r="K837" s="23"/>
    </row>
    <row r="838" customFormat="false" ht="36" hidden="false" customHeight="true" outlineLevel="0" collapsed="false">
      <c r="A838" s="7" t="s">
        <v>184</v>
      </c>
      <c r="B838" s="15" t="n">
        <v>7</v>
      </c>
      <c r="C838" s="7" t="n">
        <v>12</v>
      </c>
      <c r="D838" s="22" t="s">
        <v>232</v>
      </c>
      <c r="E838" s="4" t="s">
        <v>1662</v>
      </c>
      <c r="F838" s="23"/>
      <c r="G838" s="22" t="s">
        <v>36</v>
      </c>
      <c r="H838" s="3"/>
      <c r="I838" s="3"/>
      <c r="J838" s="7" t="n">
        <f aca="false">LEN(E838)-SUMPRODUCT(LEN(E838)-LEN(SUBSTITUTE(E838,{"，","。","？","！","、","…","；","：","《","》"," ","“","”","—","（","）","·"},"")))</f>
        <v>27</v>
      </c>
      <c r="K838" s="23"/>
    </row>
    <row r="839" customFormat="false" ht="36" hidden="false" customHeight="true" outlineLevel="0" collapsed="false">
      <c r="A839" s="7" t="s">
        <v>184</v>
      </c>
      <c r="B839" s="15" t="n">
        <v>7</v>
      </c>
      <c r="C839" s="7" t="n">
        <v>13</v>
      </c>
      <c r="D839" s="22" t="s">
        <v>219</v>
      </c>
      <c r="E839" s="4" t="s">
        <v>1663</v>
      </c>
      <c r="F839" s="23"/>
      <c r="G839" s="22" t="s">
        <v>36</v>
      </c>
      <c r="H839" s="3" t="s">
        <v>616</v>
      </c>
      <c r="I839" s="3"/>
      <c r="J839" s="7" t="n">
        <f aca="false">LEN(E839)-SUMPRODUCT(LEN(E839)-LEN(SUBSTITUTE(E839,{"，","。","？","！","、","…","；","：","《","》"," ","“","”","—","（","）","·"},"")))</f>
        <v>22</v>
      </c>
      <c r="K839" s="23"/>
    </row>
    <row r="840" customFormat="false" ht="51" hidden="false" customHeight="true" outlineLevel="0" collapsed="false">
      <c r="A840" s="7" t="s">
        <v>184</v>
      </c>
      <c r="B840" s="15" t="n">
        <v>7</v>
      </c>
      <c r="C840" s="7" t="n">
        <v>14</v>
      </c>
      <c r="D840" s="22" t="s">
        <v>222</v>
      </c>
      <c r="E840" s="4" t="s">
        <v>1664</v>
      </c>
      <c r="F840" s="23" t="s">
        <v>1602</v>
      </c>
      <c r="G840" s="22" t="s">
        <v>36</v>
      </c>
      <c r="H840" s="3" t="s">
        <v>1665</v>
      </c>
      <c r="I840" s="4" t="s">
        <v>1642</v>
      </c>
      <c r="J840" s="7" t="n">
        <f aca="false">LEN(E840)-SUMPRODUCT(LEN(E840)-LEN(SUBSTITUTE(E840,{"，","。","？","！","、","…","；","：","《","》"," ","“","”","—","（","）","·"},"")))</f>
        <v>55</v>
      </c>
      <c r="K840" s="23"/>
    </row>
    <row r="841" customFormat="false" ht="36" hidden="false" customHeight="true" outlineLevel="0" collapsed="false">
      <c r="A841" s="7" t="s">
        <v>184</v>
      </c>
      <c r="B841" s="15" t="n">
        <v>7</v>
      </c>
      <c r="C841" s="7" t="n">
        <v>15</v>
      </c>
      <c r="D841" s="22" t="s">
        <v>219</v>
      </c>
      <c r="E841" s="4" t="s">
        <v>1666</v>
      </c>
      <c r="F841" s="23" t="s">
        <v>1667</v>
      </c>
      <c r="G841" s="22" t="s">
        <v>36</v>
      </c>
      <c r="H841" s="3"/>
      <c r="I841" s="3"/>
      <c r="J841" s="7" t="n">
        <f aca="false">LEN(E841)-SUMPRODUCT(LEN(E841)-LEN(SUBSTITUTE(E841,{"，","。","？","！","、","…","；","：","《","》"," ","“","”","—","（","）","·"},"")))</f>
        <v>17</v>
      </c>
      <c r="K841" s="23"/>
    </row>
    <row r="842" customFormat="false" ht="36" hidden="false" customHeight="true" outlineLevel="0" collapsed="false">
      <c r="A842" s="7" t="s">
        <v>184</v>
      </c>
      <c r="B842" s="15" t="n">
        <v>7</v>
      </c>
      <c r="C842" s="7" t="n">
        <v>16</v>
      </c>
      <c r="D842" s="22" t="s">
        <v>232</v>
      </c>
      <c r="E842" s="4" t="s">
        <v>1668</v>
      </c>
      <c r="F842" s="23"/>
      <c r="G842" s="22" t="s">
        <v>36</v>
      </c>
      <c r="H842" s="3"/>
      <c r="I842" s="3"/>
      <c r="J842" s="7" t="n">
        <f aca="false">LEN(E842)-SUMPRODUCT(LEN(E842)-LEN(SUBSTITUTE(E842,{"，","。","？","！","、","…","；","：","《","》"," ","“","”","—","（","）","·"},"")))</f>
        <v>24</v>
      </c>
      <c r="K842" s="23"/>
    </row>
    <row r="843" customFormat="false" ht="36" hidden="false" customHeight="true" outlineLevel="0" collapsed="false">
      <c r="A843" s="7" t="s">
        <v>184</v>
      </c>
      <c r="B843" s="15" t="n">
        <v>7</v>
      </c>
      <c r="C843" s="7" t="n">
        <v>17</v>
      </c>
      <c r="D843" s="22" t="s">
        <v>222</v>
      </c>
      <c r="E843" s="4" t="s">
        <v>1669</v>
      </c>
      <c r="F843" s="23"/>
      <c r="G843" s="22" t="s">
        <v>36</v>
      </c>
      <c r="H843" s="3"/>
      <c r="I843" s="3"/>
      <c r="J843" s="7" t="n">
        <f aca="false">LEN(E843)-SUMPRODUCT(LEN(E843)-LEN(SUBSTITUTE(E843,{"，","。","？","！","、","…","；","：","《","》"," ","“","”","—","（","）","·"},"")))</f>
        <v>28</v>
      </c>
      <c r="K843" s="23"/>
    </row>
    <row r="844" customFormat="false" ht="36" hidden="false" customHeight="true" outlineLevel="0" collapsed="false">
      <c r="A844" s="7" t="s">
        <v>184</v>
      </c>
      <c r="B844" s="15" t="n">
        <v>7</v>
      </c>
      <c r="C844" s="7" t="n">
        <v>18</v>
      </c>
      <c r="D844" s="22" t="s">
        <v>219</v>
      </c>
      <c r="E844" s="4" t="s">
        <v>1670</v>
      </c>
      <c r="F844" s="23"/>
      <c r="G844" s="22" t="s">
        <v>36</v>
      </c>
      <c r="H844" s="3"/>
      <c r="I844" s="3"/>
      <c r="J844" s="7" t="n">
        <f aca="false">LEN(E844)-SUMPRODUCT(LEN(E844)-LEN(SUBSTITUTE(E844,{"，","。","？","！","、","…","；","：","《","》"," ","“","”","—","（","）","·"},"")))</f>
        <v>26</v>
      </c>
      <c r="K844" s="23"/>
    </row>
    <row r="845" customFormat="false" ht="36" hidden="false" customHeight="true" outlineLevel="0" collapsed="false">
      <c r="A845" s="7" t="s">
        <v>184</v>
      </c>
      <c r="B845" s="15" t="n">
        <v>7</v>
      </c>
      <c r="C845" s="7" t="n">
        <v>19</v>
      </c>
      <c r="D845" s="22" t="s">
        <v>232</v>
      </c>
      <c r="E845" s="4" t="s">
        <v>1671</v>
      </c>
      <c r="F845" s="23"/>
      <c r="G845" s="22" t="s">
        <v>36</v>
      </c>
      <c r="H845" s="3" t="s">
        <v>383</v>
      </c>
      <c r="I845" s="3"/>
      <c r="J845" s="7" t="n">
        <f aca="false">LEN(E845)-SUMPRODUCT(LEN(E845)-LEN(SUBSTITUTE(E845,{"，","。","？","！","、","…","；","：","《","》"," ","“","”","—","（","）","·"},"")))</f>
        <v>22</v>
      </c>
      <c r="K845" s="23"/>
    </row>
    <row r="846" customFormat="false" ht="36" hidden="false" customHeight="true" outlineLevel="0" collapsed="false">
      <c r="A846" s="7" t="s">
        <v>184</v>
      </c>
      <c r="B846" s="15" t="n">
        <v>7</v>
      </c>
      <c r="C846" s="7" t="n">
        <v>20</v>
      </c>
      <c r="D846" s="22" t="s">
        <v>229</v>
      </c>
      <c r="E846" s="4" t="s">
        <v>1672</v>
      </c>
      <c r="F846" s="23" t="s">
        <v>777</v>
      </c>
      <c r="G846" s="22" t="s">
        <v>36</v>
      </c>
      <c r="H846" s="3"/>
      <c r="I846" s="4" t="s">
        <v>1642</v>
      </c>
      <c r="J846" s="7" t="n">
        <f aca="false">LEN(E846)-SUMPRODUCT(LEN(E846)-LEN(SUBSTITUTE(E846,{"，","。","？","！","、","…","；","：","《","》"," ","“","”","—","（","）","·"},"")))</f>
        <v>27</v>
      </c>
      <c r="K846" s="23"/>
    </row>
    <row r="847" customFormat="false" ht="36" hidden="false" customHeight="true" outlineLevel="0" collapsed="false">
      <c r="A847" s="7" t="s">
        <v>184</v>
      </c>
      <c r="B847" s="15" t="n">
        <v>7</v>
      </c>
      <c r="C847" s="7" t="n">
        <v>21</v>
      </c>
      <c r="D847" s="22" t="s">
        <v>219</v>
      </c>
      <c r="E847" s="4" t="s">
        <v>1673</v>
      </c>
      <c r="F847" s="23" t="s">
        <v>1674</v>
      </c>
      <c r="G847" s="22" t="s">
        <v>36</v>
      </c>
      <c r="H847" s="3"/>
      <c r="I847" s="3"/>
      <c r="J847" s="7" t="n">
        <f aca="false">LEN(E847)-SUMPRODUCT(LEN(E847)-LEN(SUBSTITUTE(E847,{"，","。","？","！","、","…","；","：","《","》"," ","“","”","—","（","）","·"},"")))</f>
        <v>20</v>
      </c>
      <c r="K847" s="23"/>
    </row>
    <row r="848" customFormat="false" ht="36" hidden="false" customHeight="true" outlineLevel="0" collapsed="false">
      <c r="A848" s="7" t="s">
        <v>184</v>
      </c>
      <c r="B848" s="15" t="n">
        <v>7</v>
      </c>
      <c r="C848" s="7" t="n">
        <v>22</v>
      </c>
      <c r="D848" s="22" t="s">
        <v>219</v>
      </c>
      <c r="E848" s="4" t="s">
        <v>1675</v>
      </c>
      <c r="F848" s="23"/>
      <c r="G848" s="22" t="s">
        <v>36</v>
      </c>
      <c r="H848" s="3" t="s">
        <v>1676</v>
      </c>
      <c r="I848" s="3"/>
      <c r="J848" s="7" t="n">
        <f aca="false">LEN(E848)-SUMPRODUCT(LEN(E848)-LEN(SUBSTITUTE(E848,{"，","。","？","！","、","…","；","：","《","》"," ","“","”","—","（","）","·"},"")))</f>
        <v>42</v>
      </c>
      <c r="K848" s="23"/>
    </row>
    <row r="849" customFormat="false" ht="36" hidden="false" customHeight="true" outlineLevel="0" collapsed="false">
      <c r="A849" s="7" t="s">
        <v>184</v>
      </c>
      <c r="B849" s="15" t="n">
        <v>7</v>
      </c>
      <c r="C849" s="7" t="n">
        <v>23</v>
      </c>
      <c r="D849" s="22" t="s">
        <v>219</v>
      </c>
      <c r="E849" s="4" t="s">
        <v>1677</v>
      </c>
      <c r="F849" s="23"/>
      <c r="G849" s="22" t="s">
        <v>36</v>
      </c>
      <c r="H849" s="3" t="s">
        <v>616</v>
      </c>
      <c r="I849" s="3"/>
      <c r="J849" s="7" t="n">
        <f aca="false">LEN(E849)-SUMPRODUCT(LEN(E849)-LEN(SUBSTITUTE(E849,{"，","。","？","！","、","…","；","：","《","》"," ","“","”","—","（","）","·"},"")))</f>
        <v>38</v>
      </c>
      <c r="K849" s="23"/>
    </row>
    <row r="850" customFormat="false" ht="36" hidden="false" customHeight="true" outlineLevel="0" collapsed="false">
      <c r="A850" s="7" t="s">
        <v>184</v>
      </c>
      <c r="B850" s="15" t="n">
        <v>7</v>
      </c>
      <c r="C850" s="7" t="n">
        <v>24</v>
      </c>
      <c r="D850" s="22" t="s">
        <v>219</v>
      </c>
      <c r="E850" s="4" t="s">
        <v>1678</v>
      </c>
      <c r="F850" s="23"/>
      <c r="G850" s="22" t="s">
        <v>36</v>
      </c>
      <c r="H850" s="3"/>
      <c r="I850" s="3"/>
      <c r="J850" s="7" t="n">
        <f aca="false">LEN(E850)-SUMPRODUCT(LEN(E850)-LEN(SUBSTITUTE(E850,{"，","。","？","！","、","…","；","：","《","》"," ","“","”","—","（","）","·"},"")))</f>
        <v>13</v>
      </c>
      <c r="K850" s="23"/>
    </row>
    <row r="851" customFormat="false" ht="21" hidden="false" customHeight="true" outlineLevel="0" collapsed="false">
      <c r="A851" s="7" t="s">
        <v>184</v>
      </c>
      <c r="B851" s="15" t="n">
        <v>7</v>
      </c>
      <c r="C851" s="7" t="n">
        <v>25</v>
      </c>
      <c r="D851" s="22" t="s">
        <v>229</v>
      </c>
      <c r="E851" s="4" t="s">
        <v>1679</v>
      </c>
      <c r="F851" s="23"/>
      <c r="G851" s="22" t="s">
        <v>42</v>
      </c>
      <c r="H851" s="3"/>
      <c r="I851" s="3"/>
      <c r="J851" s="7" t="n">
        <f aca="false">LEN(E851)-SUMPRODUCT(LEN(E851)-LEN(SUBSTITUTE(E851,{"，","。","？","！","、","…","；","：","《","》"," ","“","”","—","（","）","·"},"")))</f>
        <v>7</v>
      </c>
      <c r="K851" s="23"/>
    </row>
    <row r="852" customFormat="false" ht="36" hidden="false" customHeight="true" outlineLevel="0" collapsed="false">
      <c r="A852" s="7" t="s">
        <v>184</v>
      </c>
      <c r="B852" s="15" t="n">
        <v>7</v>
      </c>
      <c r="C852" s="7" t="n">
        <v>26</v>
      </c>
      <c r="D852" s="22" t="s">
        <v>222</v>
      </c>
      <c r="E852" s="4" t="s">
        <v>1680</v>
      </c>
      <c r="F852" s="23"/>
      <c r="G852" s="22" t="s">
        <v>34</v>
      </c>
      <c r="H852" s="3"/>
      <c r="I852" s="3"/>
      <c r="J852" s="7" t="n">
        <f aca="false">LEN(E852)-SUMPRODUCT(LEN(E852)-LEN(SUBSTITUTE(E852,{"，","。","？","！","、","…","；","：","《","》"," ","“","”","—","（","）","·"},"")))</f>
        <v>19</v>
      </c>
      <c r="K852" s="23"/>
    </row>
    <row r="853" customFormat="false" ht="36" hidden="false" customHeight="true" outlineLevel="0" collapsed="false">
      <c r="A853" s="7" t="s">
        <v>184</v>
      </c>
      <c r="B853" s="15" t="n">
        <v>7</v>
      </c>
      <c r="C853" s="7" t="n">
        <v>27</v>
      </c>
      <c r="D853" s="22" t="s">
        <v>219</v>
      </c>
      <c r="E853" s="4" t="s">
        <v>1681</v>
      </c>
      <c r="F853" s="23"/>
      <c r="G853" s="22" t="s">
        <v>34</v>
      </c>
      <c r="H853" s="3" t="s">
        <v>1682</v>
      </c>
      <c r="I853" s="4" t="s">
        <v>1683</v>
      </c>
      <c r="J853" s="7" t="n">
        <f aca="false">LEN(E853)-SUMPRODUCT(LEN(E853)-LEN(SUBSTITUTE(E853,{"，","。","？","！","、","…","；","：","《","》"," ","“","”","—","（","）","·"},"")))</f>
        <v>34</v>
      </c>
      <c r="K853" s="23"/>
    </row>
    <row r="854" customFormat="false" ht="36" hidden="false" customHeight="true" outlineLevel="0" collapsed="false">
      <c r="A854" s="7" t="s">
        <v>184</v>
      </c>
      <c r="B854" s="15" t="n">
        <v>7</v>
      </c>
      <c r="C854" s="7" t="n">
        <v>28</v>
      </c>
      <c r="D854" s="22" t="s">
        <v>219</v>
      </c>
      <c r="E854" s="4" t="s">
        <v>1684</v>
      </c>
      <c r="F854" s="23"/>
      <c r="G854" s="22" t="s">
        <v>34</v>
      </c>
      <c r="H854" s="3" t="s">
        <v>1685</v>
      </c>
      <c r="I854" s="4" t="s">
        <v>1686</v>
      </c>
      <c r="J854" s="7" t="n">
        <f aca="false">LEN(E854)-SUMPRODUCT(LEN(E854)-LEN(SUBSTITUTE(E854,{"，","。","？","！","、","…","；","：","《","》"," ","“","”","—","（","）","·"},"")))</f>
        <v>27</v>
      </c>
      <c r="K854" s="23"/>
    </row>
    <row r="855" customFormat="false" ht="36" hidden="false" customHeight="true" outlineLevel="0" collapsed="false">
      <c r="A855" s="7" t="s">
        <v>184</v>
      </c>
      <c r="B855" s="15" t="n">
        <v>7</v>
      </c>
      <c r="C855" s="7" t="n">
        <v>29</v>
      </c>
      <c r="D855" s="22" t="s">
        <v>219</v>
      </c>
      <c r="E855" s="4" t="s">
        <v>1687</v>
      </c>
      <c r="F855" s="23"/>
      <c r="G855" s="22" t="s">
        <v>34</v>
      </c>
      <c r="H855" s="3" t="s">
        <v>1688</v>
      </c>
      <c r="I855" s="4" t="s">
        <v>1689</v>
      </c>
      <c r="J855" s="7" t="n">
        <f aca="false">LEN(E855)-SUMPRODUCT(LEN(E855)-LEN(SUBSTITUTE(E855,{"，","。","？","！","、","…","；","：","《","》"," ","“","”","—","（","）","·"},"")))</f>
        <v>26</v>
      </c>
      <c r="K855" s="23"/>
    </row>
    <row r="856" customFormat="false" ht="36" hidden="false" customHeight="true" outlineLevel="0" collapsed="false">
      <c r="A856" s="7" t="s">
        <v>184</v>
      </c>
      <c r="B856" s="15" t="n">
        <v>7</v>
      </c>
      <c r="C856" s="7" t="n">
        <v>30</v>
      </c>
      <c r="D856" s="22" t="s">
        <v>232</v>
      </c>
      <c r="E856" s="4" t="s">
        <v>1690</v>
      </c>
      <c r="F856" s="23"/>
      <c r="G856" s="22" t="s">
        <v>34</v>
      </c>
      <c r="H856" s="3"/>
      <c r="I856" s="4" t="s">
        <v>1686</v>
      </c>
      <c r="J856" s="7" t="n">
        <f aca="false">LEN(E856)-SUMPRODUCT(LEN(E856)-LEN(SUBSTITUTE(E856,{"，","。","？","！","、","…","；","：","《","》"," ","“","”","—","（","）","·"},"")))</f>
        <v>18</v>
      </c>
      <c r="K856" s="23"/>
    </row>
    <row r="857" customFormat="false" ht="36" hidden="false" customHeight="true" outlineLevel="0" collapsed="false">
      <c r="A857" s="7" t="s">
        <v>184</v>
      </c>
      <c r="B857" s="15" t="n">
        <v>7</v>
      </c>
      <c r="C857" s="7" t="n">
        <v>31</v>
      </c>
      <c r="D857" s="22" t="s">
        <v>219</v>
      </c>
      <c r="E857" s="4" t="s">
        <v>1691</v>
      </c>
      <c r="F857" s="23"/>
      <c r="G857" s="22" t="s">
        <v>34</v>
      </c>
      <c r="H857" s="3"/>
      <c r="I857" s="3"/>
      <c r="J857" s="7" t="n">
        <f aca="false">LEN(E857)-SUMPRODUCT(LEN(E857)-LEN(SUBSTITUTE(E857,{"，","。","？","！","、","…","；","：","《","》"," ","“","”","—","（","）","·"},"")))</f>
        <v>19</v>
      </c>
      <c r="K857" s="23"/>
    </row>
    <row r="858" customFormat="false" ht="21" hidden="false" customHeight="true" outlineLevel="0" collapsed="false">
      <c r="A858" s="7" t="s">
        <v>184</v>
      </c>
      <c r="B858" s="15" t="n">
        <v>7</v>
      </c>
      <c r="C858" s="7" t="n">
        <v>32</v>
      </c>
      <c r="D858" s="22" t="s">
        <v>229</v>
      </c>
      <c r="E858" s="4" t="s">
        <v>1692</v>
      </c>
      <c r="F858" s="23"/>
      <c r="G858" s="22" t="s">
        <v>42</v>
      </c>
      <c r="H858" s="3"/>
      <c r="I858" s="3"/>
      <c r="J858" s="7" t="n">
        <f aca="false">LEN(E858)-SUMPRODUCT(LEN(E858)-LEN(SUBSTITUTE(E858,{"，","。","？","！","、","…","；","：","《","》"," ","“","”","—","（","）","·"},"")))</f>
        <v>15</v>
      </c>
      <c r="K858" s="23"/>
    </row>
    <row r="859" customFormat="false" ht="36" hidden="false" customHeight="true" outlineLevel="0" collapsed="false">
      <c r="A859" s="7" t="s">
        <v>184</v>
      </c>
      <c r="B859" s="15" t="n">
        <v>7</v>
      </c>
      <c r="C859" s="7" t="n">
        <v>33</v>
      </c>
      <c r="D859" s="22" t="s">
        <v>219</v>
      </c>
      <c r="E859" s="4" t="s">
        <v>1693</v>
      </c>
      <c r="F859" s="23"/>
      <c r="G859" s="22" t="s">
        <v>40</v>
      </c>
      <c r="H859" s="3"/>
      <c r="I859" s="3"/>
      <c r="J859" s="7" t="n">
        <f aca="false">LEN(E859)-SUMPRODUCT(LEN(E859)-LEN(SUBSTITUTE(E859,{"，","。","？","！","、","…","；","：","《","》"," ","“","”","—","（","）","·"},"")))</f>
        <v>19</v>
      </c>
      <c r="K859" s="23"/>
    </row>
    <row r="860" customFormat="false" ht="21" hidden="false" customHeight="true" outlineLevel="0" collapsed="false">
      <c r="A860" s="7" t="s">
        <v>184</v>
      </c>
      <c r="B860" s="15" t="n">
        <v>7</v>
      </c>
      <c r="C860" s="7" t="n">
        <v>34</v>
      </c>
      <c r="D860" s="22" t="s">
        <v>229</v>
      </c>
      <c r="E860" s="4" t="s">
        <v>1694</v>
      </c>
      <c r="F860" s="23" t="s">
        <v>1695</v>
      </c>
      <c r="G860" s="22" t="s">
        <v>42</v>
      </c>
      <c r="H860" s="3"/>
      <c r="I860" s="3"/>
      <c r="J860" s="7" t="n">
        <f aca="false">LEN(E860)-SUMPRODUCT(LEN(E860)-LEN(SUBSTITUTE(E860,{"，","。","？","！","、","…","；","：","《","》"," ","“","”","—","（","）","·"},"")))</f>
        <v>11</v>
      </c>
      <c r="K860" s="23"/>
    </row>
    <row r="861" customFormat="false" ht="36" hidden="false" customHeight="true" outlineLevel="0" collapsed="false">
      <c r="A861" s="7" t="s">
        <v>184</v>
      </c>
      <c r="B861" s="15" t="n">
        <v>7</v>
      </c>
      <c r="C861" s="7" t="n">
        <v>35</v>
      </c>
      <c r="D861" s="22" t="s">
        <v>219</v>
      </c>
      <c r="E861" s="4" t="s">
        <v>1696</v>
      </c>
      <c r="F861" s="23" t="s">
        <v>1697</v>
      </c>
      <c r="G861" s="22" t="s">
        <v>42</v>
      </c>
      <c r="H861" s="3"/>
      <c r="I861" s="4" t="s">
        <v>1698</v>
      </c>
      <c r="J861" s="7" t="n">
        <f aca="false">LEN(E861)-SUMPRODUCT(LEN(E861)-LEN(SUBSTITUTE(E861,{"，","。","？","！","、","…","；","：","《","》"," ","“","”","—","（","）","·"},"")))</f>
        <v>32</v>
      </c>
      <c r="K861" s="23"/>
    </row>
    <row r="862" customFormat="false" ht="36" hidden="false" customHeight="true" outlineLevel="0" collapsed="false">
      <c r="A862" s="7" t="s">
        <v>184</v>
      </c>
      <c r="B862" s="15" t="n">
        <v>7</v>
      </c>
      <c r="C862" s="7" t="n">
        <v>36</v>
      </c>
      <c r="D862" s="22" t="s">
        <v>219</v>
      </c>
      <c r="E862" s="4" t="s">
        <v>1699</v>
      </c>
      <c r="F862" s="23" t="s">
        <v>226</v>
      </c>
      <c r="G862" s="22" t="s">
        <v>40</v>
      </c>
      <c r="H862" s="3"/>
      <c r="I862" s="4" t="s">
        <v>1700</v>
      </c>
      <c r="J862" s="7" t="n">
        <f aca="false">LEN(E862)-SUMPRODUCT(LEN(E862)-LEN(SUBSTITUTE(E862,{"，","。","？","！","、","…","；","：","《","》"," ","“","”","—","（","）","·"},"")))</f>
        <v>36</v>
      </c>
      <c r="K862" s="23"/>
    </row>
    <row r="863" customFormat="false" ht="36" hidden="false" customHeight="true" outlineLevel="0" collapsed="false">
      <c r="A863" s="7" t="s">
        <v>184</v>
      </c>
      <c r="B863" s="15" t="n">
        <v>7</v>
      </c>
      <c r="C863" s="7" t="n">
        <v>37</v>
      </c>
      <c r="D863" s="22" t="s">
        <v>219</v>
      </c>
      <c r="E863" s="4" t="s">
        <v>1701</v>
      </c>
      <c r="F863" s="23" t="s">
        <v>226</v>
      </c>
      <c r="G863" s="22" t="s">
        <v>40</v>
      </c>
      <c r="H863" s="3"/>
      <c r="I863" s="4" t="s">
        <v>1686</v>
      </c>
      <c r="J863" s="7" t="n">
        <f aca="false">LEN(E863)-SUMPRODUCT(LEN(E863)-LEN(SUBSTITUTE(E863,{"，","。","？","！","、","…","；","：","《","》"," ","“","”","—","（","）","·"},"")))</f>
        <v>19</v>
      </c>
      <c r="K863" s="23"/>
    </row>
    <row r="864" customFormat="false" ht="36" hidden="false" customHeight="true" outlineLevel="0" collapsed="false">
      <c r="A864" s="7" t="s">
        <v>184</v>
      </c>
      <c r="B864" s="15" t="n">
        <v>7</v>
      </c>
      <c r="C864" s="7" t="n">
        <v>38</v>
      </c>
      <c r="D864" s="22" t="s">
        <v>222</v>
      </c>
      <c r="E864" s="4" t="s">
        <v>1702</v>
      </c>
      <c r="F864" s="23"/>
      <c r="G864" s="22" t="s">
        <v>40</v>
      </c>
      <c r="H864" s="3"/>
      <c r="I864" s="4" t="s">
        <v>1703</v>
      </c>
      <c r="J864" s="7" t="n">
        <f aca="false">LEN(E864)-SUMPRODUCT(LEN(E864)-LEN(SUBSTITUTE(E864,{"，","。","？","！","、","…","；","：","《","》"," ","“","”","—","（","）","·"},"")))</f>
        <v>11</v>
      </c>
      <c r="K864" s="23"/>
    </row>
    <row r="865" customFormat="false" ht="36" hidden="false" customHeight="true" outlineLevel="0" collapsed="false">
      <c r="A865" s="7" t="s">
        <v>184</v>
      </c>
      <c r="B865" s="15" t="n">
        <v>7</v>
      </c>
      <c r="C865" s="7" t="n">
        <v>39</v>
      </c>
      <c r="D865" s="22" t="s">
        <v>219</v>
      </c>
      <c r="E865" s="4" t="s">
        <v>1704</v>
      </c>
      <c r="F865" s="23"/>
      <c r="G865" s="22" t="s">
        <v>40</v>
      </c>
      <c r="H865" s="3" t="s">
        <v>1705</v>
      </c>
      <c r="I865" s="3"/>
      <c r="J865" s="7" t="n">
        <f aca="false">LEN(E865)-SUMPRODUCT(LEN(E865)-LEN(SUBSTITUTE(E865,{"，","。","？","！","、","…","；","：","《","》"," ","“","”","—","（","）","·"},"")))</f>
        <v>32</v>
      </c>
      <c r="K865" s="23"/>
    </row>
    <row r="866" customFormat="false" ht="36" hidden="false" customHeight="true" outlineLevel="0" collapsed="false">
      <c r="A866" s="7" t="s">
        <v>184</v>
      </c>
      <c r="B866" s="15" t="n">
        <v>7</v>
      </c>
      <c r="C866" s="7" t="n">
        <v>40</v>
      </c>
      <c r="D866" s="22" t="s">
        <v>232</v>
      </c>
      <c r="E866" s="4" t="s">
        <v>1706</v>
      </c>
      <c r="F866" s="23"/>
      <c r="G866" s="22" t="s">
        <v>36</v>
      </c>
      <c r="H866" s="3"/>
      <c r="I866" s="4" t="s">
        <v>1642</v>
      </c>
      <c r="J866" s="7" t="n">
        <f aca="false">LEN(E866)-SUMPRODUCT(LEN(E866)-LEN(SUBSTITUTE(E866,{"，","。","？","！","、","…","；","：","《","》"," ","“","”","—","（","）","·"},"")))</f>
        <v>26</v>
      </c>
      <c r="K866" s="23"/>
    </row>
    <row r="867" customFormat="false" ht="36" hidden="false" customHeight="true" outlineLevel="0" collapsed="false">
      <c r="A867" s="7" t="s">
        <v>184</v>
      </c>
      <c r="B867" s="15" t="n">
        <v>7</v>
      </c>
      <c r="C867" s="7" t="n">
        <v>41</v>
      </c>
      <c r="D867" s="22" t="s">
        <v>219</v>
      </c>
      <c r="E867" s="4" t="s">
        <v>1707</v>
      </c>
      <c r="F867" s="23"/>
      <c r="G867" s="22" t="s">
        <v>36</v>
      </c>
      <c r="H867" s="3"/>
      <c r="I867" s="3"/>
      <c r="J867" s="7" t="n">
        <f aca="false">LEN(E867)-SUMPRODUCT(LEN(E867)-LEN(SUBSTITUTE(E867,{"，","。","？","！","、","…","；","：","《","》"," ","“","”","—","（","）","·"},"")))</f>
        <v>23</v>
      </c>
      <c r="K867" s="23"/>
    </row>
    <row r="868" customFormat="false" ht="21" hidden="false" customHeight="true" outlineLevel="0" collapsed="false">
      <c r="A868" s="7" t="s">
        <v>184</v>
      </c>
      <c r="B868" s="15" t="n">
        <v>7</v>
      </c>
      <c r="C868" s="7" t="n">
        <v>42</v>
      </c>
      <c r="D868" s="22" t="s">
        <v>222</v>
      </c>
      <c r="E868" s="4" t="s">
        <v>1708</v>
      </c>
      <c r="F868" s="23"/>
      <c r="G868" s="22" t="s">
        <v>42</v>
      </c>
      <c r="H868" s="3"/>
      <c r="I868" s="4" t="s">
        <v>1642</v>
      </c>
      <c r="J868" s="7" t="n">
        <f aca="false">LEN(E868)-SUMPRODUCT(LEN(E868)-LEN(SUBSTITUTE(E868,{"，","。","？","！","、","…","；","：","《","》"," ","“","”","—","（","）","·"},"")))</f>
        <v>10</v>
      </c>
      <c r="K868" s="23"/>
    </row>
    <row r="869" customFormat="false" ht="36" hidden="false" customHeight="true" outlineLevel="0" collapsed="false">
      <c r="A869" s="7" t="s">
        <v>189</v>
      </c>
      <c r="B869" s="15" t="n">
        <v>7</v>
      </c>
      <c r="C869" s="7" t="n">
        <v>1</v>
      </c>
      <c r="D869" s="22" t="s">
        <v>219</v>
      </c>
      <c r="E869" s="4" t="s">
        <v>1709</v>
      </c>
      <c r="F869" s="23" t="s">
        <v>1710</v>
      </c>
      <c r="G869" s="22" t="s">
        <v>40</v>
      </c>
      <c r="H869" s="3"/>
      <c r="I869" s="4" t="s">
        <v>802</v>
      </c>
      <c r="J869" s="7" t="n">
        <f aca="false">LEN(E869)-SUMPRODUCT(LEN(E869)-LEN(SUBSTITUTE(E869,{"，","。","？","！","、","…","；","：","《","》"," ","“","”","—","（","）","·"},"")))</f>
        <v>20</v>
      </c>
      <c r="K869" s="23"/>
    </row>
    <row r="870" customFormat="false" ht="36" hidden="false" customHeight="true" outlineLevel="0" collapsed="false">
      <c r="A870" s="7" t="s">
        <v>189</v>
      </c>
      <c r="B870" s="15" t="n">
        <v>7</v>
      </c>
      <c r="C870" s="7" t="n">
        <v>2</v>
      </c>
      <c r="D870" s="22" t="s">
        <v>219</v>
      </c>
      <c r="E870" s="4" t="s">
        <v>1711</v>
      </c>
      <c r="F870" s="23" t="s">
        <v>1710</v>
      </c>
      <c r="G870" s="22" t="s">
        <v>40</v>
      </c>
      <c r="H870" s="3"/>
      <c r="I870" s="3"/>
      <c r="J870" s="7" t="n">
        <f aca="false">LEN(E870)-SUMPRODUCT(LEN(E870)-LEN(SUBSTITUTE(E870,{"，","。","？","！","、","…","；","：","《","》"," ","“","”","—","（","）","·"},"")))</f>
        <v>25</v>
      </c>
      <c r="K870" s="23"/>
    </row>
    <row r="871" customFormat="false" ht="21" hidden="false" customHeight="true" outlineLevel="0" collapsed="false">
      <c r="A871" s="7" t="s">
        <v>189</v>
      </c>
      <c r="B871" s="15" t="n">
        <v>7</v>
      </c>
      <c r="C871" s="7" t="n">
        <v>3</v>
      </c>
      <c r="D871" s="22" t="s">
        <v>481</v>
      </c>
      <c r="E871" s="4" t="s">
        <v>1712</v>
      </c>
      <c r="F871" s="23" t="s">
        <v>1713</v>
      </c>
      <c r="G871" s="22" t="s">
        <v>42</v>
      </c>
      <c r="H871" s="3"/>
      <c r="I871" s="3"/>
      <c r="J871" s="7" t="n">
        <f aca="false">LEN(E871)-SUMPRODUCT(LEN(E871)-LEN(SUBSTITUTE(E871,{"，","。","？","！","、","…","；","：","《","》"," ","“","”","—","（","）","·"},"")))</f>
        <v>14</v>
      </c>
      <c r="K871" s="23"/>
    </row>
    <row r="872" customFormat="false" ht="21" hidden="false" customHeight="true" outlineLevel="0" collapsed="false">
      <c r="A872" s="7" t="s">
        <v>189</v>
      </c>
      <c r="B872" s="15" t="n">
        <v>7</v>
      </c>
      <c r="C872" s="7" t="n">
        <v>4</v>
      </c>
      <c r="D872" s="22" t="s">
        <v>222</v>
      </c>
      <c r="E872" s="4" t="s">
        <v>1714</v>
      </c>
      <c r="F872" s="23"/>
      <c r="G872" s="22" t="s">
        <v>42</v>
      </c>
      <c r="H872" s="3"/>
      <c r="I872" s="3"/>
      <c r="J872" s="7" t="n">
        <f aca="false">LEN(E872)-SUMPRODUCT(LEN(E872)-LEN(SUBSTITUTE(E872,{"，","。","？","！","、","…","；","：","《","》"," ","“","”","—","（","）","·"},"")))</f>
        <v>9</v>
      </c>
      <c r="K872" s="23"/>
    </row>
    <row r="873" customFormat="false" ht="36" hidden="false" customHeight="true" outlineLevel="0" collapsed="false">
      <c r="A873" s="7" t="s">
        <v>189</v>
      </c>
      <c r="B873" s="15" t="n">
        <v>7</v>
      </c>
      <c r="C873" s="7" t="n">
        <v>5</v>
      </c>
      <c r="D873" s="22" t="s">
        <v>219</v>
      </c>
      <c r="E873" s="4" t="s">
        <v>1715</v>
      </c>
      <c r="F873" s="23" t="s">
        <v>1716</v>
      </c>
      <c r="G873" s="22" t="s">
        <v>36</v>
      </c>
      <c r="H873" s="3"/>
      <c r="I873" s="3"/>
      <c r="J873" s="7" t="n">
        <f aca="false">LEN(E873)-SUMPRODUCT(LEN(E873)-LEN(SUBSTITUTE(E873,{"，","。","？","！","、","…","；","：","《","》"," ","“","”","—","（","）","·"},"")))</f>
        <v>20</v>
      </c>
      <c r="K873" s="23"/>
    </row>
    <row r="874" customFormat="false" ht="21" hidden="false" customHeight="true" outlineLevel="0" collapsed="false">
      <c r="A874" s="7" t="s">
        <v>189</v>
      </c>
      <c r="B874" s="15" t="n">
        <v>7</v>
      </c>
      <c r="C874" s="7" t="n">
        <v>6</v>
      </c>
      <c r="D874" s="22" t="s">
        <v>481</v>
      </c>
      <c r="E874" s="4" t="s">
        <v>1717</v>
      </c>
      <c r="F874" s="23"/>
      <c r="G874" s="22" t="s">
        <v>42</v>
      </c>
      <c r="H874" s="3"/>
      <c r="I874" s="3"/>
      <c r="J874" s="7" t="n">
        <f aca="false">LEN(E874)-SUMPRODUCT(LEN(E874)-LEN(SUBSTITUTE(E874,{"，","。","？","！","、","…","；","：","《","》"," ","“","”","—","（","）","·"},"")))</f>
        <v>6</v>
      </c>
      <c r="K874" s="23"/>
    </row>
    <row r="875" customFormat="false" ht="36" hidden="false" customHeight="true" outlineLevel="0" collapsed="false">
      <c r="A875" s="7" t="s">
        <v>189</v>
      </c>
      <c r="B875" s="15" t="n">
        <v>7</v>
      </c>
      <c r="C875" s="7" t="n">
        <v>7</v>
      </c>
      <c r="D875" s="22" t="s">
        <v>219</v>
      </c>
      <c r="E875" s="4" t="s">
        <v>1718</v>
      </c>
      <c r="F875" s="23"/>
      <c r="G875" s="22" t="s">
        <v>36</v>
      </c>
      <c r="H875" s="3"/>
      <c r="I875" s="3"/>
      <c r="J875" s="7" t="n">
        <f aca="false">LEN(E875)-SUMPRODUCT(LEN(E875)-LEN(SUBSTITUTE(E875,{"，","。","？","！","、","…","；","：","《","》"," ","“","”","—","（","）","·"},"")))</f>
        <v>21</v>
      </c>
      <c r="K875" s="23"/>
    </row>
    <row r="876" customFormat="false" ht="21" hidden="false" customHeight="true" outlineLevel="0" collapsed="false">
      <c r="A876" s="7" t="s">
        <v>189</v>
      </c>
      <c r="B876" s="15" t="n">
        <v>7</v>
      </c>
      <c r="C876" s="7" t="n">
        <v>8</v>
      </c>
      <c r="D876" s="22" t="s">
        <v>232</v>
      </c>
      <c r="E876" s="4" t="s">
        <v>1719</v>
      </c>
      <c r="F876" s="23"/>
      <c r="G876" s="22" t="s">
        <v>42</v>
      </c>
      <c r="H876" s="3"/>
      <c r="I876" s="4" t="s">
        <v>1642</v>
      </c>
      <c r="J876" s="7" t="n">
        <f aca="false">LEN(E876)-SUMPRODUCT(LEN(E876)-LEN(SUBSTITUTE(E876,{"，","。","？","！","、","…","；","：","《","》"," ","“","”","—","（","）","·"},"")))</f>
        <v>10</v>
      </c>
      <c r="K876" s="23"/>
    </row>
    <row r="877" customFormat="false" ht="36" hidden="false" customHeight="true" outlineLevel="0" collapsed="false">
      <c r="A877" s="7" t="s">
        <v>189</v>
      </c>
      <c r="B877" s="15" t="n">
        <v>7</v>
      </c>
      <c r="C877" s="7" t="n">
        <v>9</v>
      </c>
      <c r="D877" s="22" t="s">
        <v>219</v>
      </c>
      <c r="E877" s="4" t="s">
        <v>1720</v>
      </c>
      <c r="F877" s="23"/>
      <c r="G877" s="22" t="s">
        <v>40</v>
      </c>
      <c r="H877" s="3" t="s">
        <v>1721</v>
      </c>
      <c r="I877" s="3"/>
      <c r="J877" s="7" t="n">
        <f aca="false">LEN(E877)-SUMPRODUCT(LEN(E877)-LEN(SUBSTITUTE(E877,{"，","。","？","！","、","…","；","：","《","》"," ","“","”","—","（","）","·"},"")))</f>
        <v>27</v>
      </c>
      <c r="K877" s="23"/>
    </row>
    <row r="878" customFormat="false" ht="36" hidden="false" customHeight="true" outlineLevel="0" collapsed="false">
      <c r="A878" s="7" t="s">
        <v>189</v>
      </c>
      <c r="B878" s="15" t="n">
        <v>7</v>
      </c>
      <c r="C878" s="7" t="n">
        <v>10</v>
      </c>
      <c r="D878" s="22" t="s">
        <v>219</v>
      </c>
      <c r="E878" s="4" t="s">
        <v>1722</v>
      </c>
      <c r="F878" s="23" t="s">
        <v>1723</v>
      </c>
      <c r="G878" s="22" t="s">
        <v>36</v>
      </c>
      <c r="H878" s="3"/>
      <c r="I878" s="3"/>
      <c r="J878" s="7" t="n">
        <f aca="false">LEN(E878)-SUMPRODUCT(LEN(E878)-LEN(SUBSTITUTE(E878,{"，","。","？","！","、","…","；","：","《","》"," ","“","”","—","（","）","·"},"")))</f>
        <v>16</v>
      </c>
      <c r="K878" s="23"/>
    </row>
    <row r="879" customFormat="false" ht="36" hidden="false" customHeight="true" outlineLevel="0" collapsed="false">
      <c r="A879" s="7" t="s">
        <v>189</v>
      </c>
      <c r="B879" s="15" t="n">
        <v>7</v>
      </c>
      <c r="C879" s="7" t="n">
        <v>11</v>
      </c>
      <c r="D879" s="22" t="s">
        <v>219</v>
      </c>
      <c r="E879" s="4" t="s">
        <v>1724</v>
      </c>
      <c r="F879" s="23"/>
      <c r="G879" s="22" t="s">
        <v>36</v>
      </c>
      <c r="H879" s="3"/>
      <c r="I879" s="3"/>
      <c r="J879" s="7" t="n">
        <f aca="false">LEN(E879)-SUMPRODUCT(LEN(E879)-LEN(SUBSTITUTE(E879,{"，","。","？","！","、","…","；","：","《","》"," ","“","”","—","（","）","·"},"")))</f>
        <v>15</v>
      </c>
      <c r="K879" s="23"/>
    </row>
    <row r="880" customFormat="false" ht="21" hidden="false" customHeight="true" outlineLevel="0" collapsed="false">
      <c r="A880" s="7" t="s">
        <v>189</v>
      </c>
      <c r="B880" s="15" t="n">
        <v>7</v>
      </c>
      <c r="C880" s="7" t="n">
        <v>12</v>
      </c>
      <c r="D880" s="22" t="s">
        <v>481</v>
      </c>
      <c r="E880" s="4" t="s">
        <v>1725</v>
      </c>
      <c r="F880" s="23" t="s">
        <v>1726</v>
      </c>
      <c r="G880" s="22" t="s">
        <v>42</v>
      </c>
      <c r="H880" s="3"/>
      <c r="I880" s="3"/>
      <c r="J880" s="7" t="n">
        <f aca="false">LEN(E880)-SUMPRODUCT(LEN(E880)-LEN(SUBSTITUTE(E880,{"，","。","？","！","、","…","；","：","《","》"," ","“","”","—","（","）","·"},"")))</f>
        <v>15</v>
      </c>
      <c r="K880" s="23"/>
    </row>
    <row r="881" customFormat="false" ht="21" hidden="false" customHeight="true" outlineLevel="0" collapsed="false">
      <c r="A881" s="7" t="s">
        <v>189</v>
      </c>
      <c r="B881" s="15" t="n">
        <v>7</v>
      </c>
      <c r="C881" s="7" t="n">
        <v>13</v>
      </c>
      <c r="D881" s="22" t="s">
        <v>232</v>
      </c>
      <c r="E881" s="4" t="s">
        <v>1727</v>
      </c>
      <c r="F881" s="23"/>
      <c r="G881" s="22" t="s">
        <v>42</v>
      </c>
      <c r="H881" s="3"/>
      <c r="I881" s="3"/>
      <c r="J881" s="7" t="n">
        <f aca="false">LEN(E881)-SUMPRODUCT(LEN(E881)-LEN(SUBSTITUTE(E881,{"，","。","？","！","、","…","；","：","《","》"," ","“","”","—","（","）","·"},"")))</f>
        <v>17</v>
      </c>
      <c r="K881" s="23"/>
    </row>
    <row r="882" customFormat="false" ht="36" hidden="false" customHeight="true" outlineLevel="0" collapsed="false">
      <c r="A882" s="7" t="s">
        <v>189</v>
      </c>
      <c r="B882" s="15" t="n">
        <v>7</v>
      </c>
      <c r="C882" s="7" t="n">
        <v>14</v>
      </c>
      <c r="D882" s="22" t="s">
        <v>219</v>
      </c>
      <c r="E882" s="4" t="s">
        <v>1728</v>
      </c>
      <c r="F882" s="23"/>
      <c r="G882" s="22" t="s">
        <v>36</v>
      </c>
      <c r="H882" s="3"/>
      <c r="I882" s="3"/>
      <c r="J882" s="7" t="n">
        <f aca="false">LEN(E882)-SUMPRODUCT(LEN(E882)-LEN(SUBSTITUTE(E882,{"，","。","？","！","、","…","；","：","《","》"," ","“","”","—","（","）","·"},"")))</f>
        <v>19</v>
      </c>
      <c r="K882" s="23"/>
    </row>
    <row r="883" customFormat="false" ht="21" hidden="false" customHeight="true" outlineLevel="0" collapsed="false">
      <c r="A883" s="7" t="s">
        <v>189</v>
      </c>
      <c r="B883" s="15" t="n">
        <v>7</v>
      </c>
      <c r="C883" s="7" t="n">
        <v>15</v>
      </c>
      <c r="D883" s="22" t="s">
        <v>222</v>
      </c>
      <c r="E883" s="4" t="s">
        <v>1729</v>
      </c>
      <c r="F883" s="23" t="s">
        <v>1730</v>
      </c>
      <c r="G883" s="22" t="s">
        <v>42</v>
      </c>
      <c r="H883" s="3"/>
      <c r="I883" s="4" t="s">
        <v>1642</v>
      </c>
      <c r="J883" s="7" t="n">
        <f aca="false">LEN(E883)-SUMPRODUCT(LEN(E883)-LEN(SUBSTITUTE(E883,{"，","。","？","！","、","…","；","：","《","》"," ","“","”","—","（","）","·"},"")))</f>
        <v>12</v>
      </c>
      <c r="K883" s="23"/>
    </row>
    <row r="884" customFormat="false" ht="36" hidden="false" customHeight="true" outlineLevel="0" collapsed="false">
      <c r="A884" s="7" t="s">
        <v>189</v>
      </c>
      <c r="B884" s="15" t="n">
        <v>7</v>
      </c>
      <c r="C884" s="7" t="n">
        <v>16</v>
      </c>
      <c r="D884" s="22" t="s">
        <v>222</v>
      </c>
      <c r="E884" s="4" t="s">
        <v>1731</v>
      </c>
      <c r="F884" s="23" t="s">
        <v>1602</v>
      </c>
      <c r="G884" s="22" t="s">
        <v>36</v>
      </c>
      <c r="H884" s="3" t="s">
        <v>1732</v>
      </c>
      <c r="I884" s="3"/>
      <c r="J884" s="7" t="n">
        <f aca="false">LEN(E884)-SUMPRODUCT(LEN(E884)-LEN(SUBSTITUTE(E884,{"，","。","？","！","、","…","；","：","《","》"," ","“","”","—","（","）","·"},"")))</f>
        <v>38</v>
      </c>
      <c r="K884" s="23"/>
    </row>
    <row r="885" customFormat="false" ht="36" hidden="false" customHeight="true" outlineLevel="0" collapsed="false">
      <c r="A885" s="7" t="s">
        <v>189</v>
      </c>
      <c r="B885" s="15" t="n">
        <v>7</v>
      </c>
      <c r="C885" s="7" t="n">
        <v>17</v>
      </c>
      <c r="D885" s="22" t="s">
        <v>222</v>
      </c>
      <c r="E885" s="4" t="s">
        <v>1733</v>
      </c>
      <c r="F885" s="23"/>
      <c r="G885" s="22" t="s">
        <v>36</v>
      </c>
      <c r="H885" s="3"/>
      <c r="I885" s="3"/>
      <c r="J885" s="7" t="n">
        <f aca="false">LEN(E885)-SUMPRODUCT(LEN(E885)-LEN(SUBSTITUTE(E885,{"，","。","？","！","、","…","；","：","《","》"," ","“","”","—","（","）","·"},"")))</f>
        <v>25</v>
      </c>
      <c r="K885" s="23"/>
    </row>
    <row r="886" customFormat="false" ht="36" hidden="false" customHeight="true" outlineLevel="0" collapsed="false">
      <c r="A886" s="7" t="s">
        <v>189</v>
      </c>
      <c r="B886" s="15" t="n">
        <v>7</v>
      </c>
      <c r="C886" s="7" t="n">
        <v>18</v>
      </c>
      <c r="D886" s="22" t="s">
        <v>222</v>
      </c>
      <c r="E886" s="4" t="s">
        <v>1734</v>
      </c>
      <c r="F886" s="23"/>
      <c r="G886" s="22" t="s">
        <v>36</v>
      </c>
      <c r="H886" s="3" t="s">
        <v>1735</v>
      </c>
      <c r="I886" s="3"/>
      <c r="J886" s="7" t="n">
        <f aca="false">LEN(E886)-SUMPRODUCT(LEN(E886)-LEN(SUBSTITUTE(E886,{"，","。","？","！","、","…","；","：","《","》"," ","“","”","—","（","）","·"},"")))</f>
        <v>28</v>
      </c>
      <c r="K886" s="23"/>
    </row>
    <row r="887" customFormat="false" ht="36" hidden="false" customHeight="true" outlineLevel="0" collapsed="false">
      <c r="A887" s="7" t="s">
        <v>189</v>
      </c>
      <c r="B887" s="15" t="n">
        <v>7</v>
      </c>
      <c r="C887" s="7" t="n">
        <v>19</v>
      </c>
      <c r="D887" s="22" t="s">
        <v>219</v>
      </c>
      <c r="E887" s="4" t="s">
        <v>1736</v>
      </c>
      <c r="F887" s="23"/>
      <c r="G887" s="22" t="s">
        <v>36</v>
      </c>
      <c r="H887" s="3" t="s">
        <v>1737</v>
      </c>
      <c r="I887" s="3"/>
      <c r="J887" s="7" t="n">
        <f aca="false">LEN(E887)-SUMPRODUCT(LEN(E887)-LEN(SUBSTITUTE(E887,{"，","。","？","！","、","…","；","：","《","》"," ","“","”","—","（","）","·"},"")))</f>
        <v>25</v>
      </c>
      <c r="K887" s="23"/>
    </row>
    <row r="888" customFormat="false" ht="36" hidden="false" customHeight="true" outlineLevel="0" collapsed="false">
      <c r="A888" s="7" t="s">
        <v>189</v>
      </c>
      <c r="B888" s="15" t="n">
        <v>7</v>
      </c>
      <c r="C888" s="7" t="n">
        <v>20</v>
      </c>
      <c r="D888" s="22" t="s">
        <v>232</v>
      </c>
      <c r="E888" s="4" t="s">
        <v>1738</v>
      </c>
      <c r="F888" s="23" t="s">
        <v>234</v>
      </c>
      <c r="G888" s="22" t="s">
        <v>36</v>
      </c>
      <c r="H888" s="3"/>
      <c r="I888" s="4" t="s">
        <v>1642</v>
      </c>
      <c r="J888" s="7" t="n">
        <f aca="false">LEN(E888)-SUMPRODUCT(LEN(E888)-LEN(SUBSTITUTE(E888,{"，","。","？","！","、","…","；","：","《","》"," ","“","”","—","（","）","·"},"")))</f>
        <v>26</v>
      </c>
      <c r="K888" s="23"/>
    </row>
    <row r="889" customFormat="false" ht="36" hidden="false" customHeight="true" outlineLevel="0" collapsed="false">
      <c r="A889" s="7" t="s">
        <v>189</v>
      </c>
      <c r="B889" s="15" t="n">
        <v>7</v>
      </c>
      <c r="C889" s="7" t="n">
        <v>21</v>
      </c>
      <c r="D889" s="22" t="s">
        <v>232</v>
      </c>
      <c r="E889" s="4" t="s">
        <v>1739</v>
      </c>
      <c r="F889" s="23"/>
      <c r="G889" s="22" t="s">
        <v>36</v>
      </c>
      <c r="H889" s="3"/>
      <c r="I889" s="3"/>
      <c r="J889" s="7" t="n">
        <f aca="false">LEN(E889)-SUMPRODUCT(LEN(E889)-LEN(SUBSTITUTE(E889,{"，","。","？","！","、","…","；","：","《","》"," ","“","”","—","（","）","·"},"")))</f>
        <v>25</v>
      </c>
      <c r="K889" s="23"/>
    </row>
    <row r="890" customFormat="false" ht="36" hidden="false" customHeight="true" outlineLevel="0" collapsed="false">
      <c r="A890" s="7" t="s">
        <v>189</v>
      </c>
      <c r="B890" s="15" t="n">
        <v>7</v>
      </c>
      <c r="C890" s="7" t="n">
        <v>22</v>
      </c>
      <c r="D890" s="22" t="s">
        <v>219</v>
      </c>
      <c r="E890" s="4" t="s">
        <v>1740</v>
      </c>
      <c r="F890" s="23"/>
      <c r="G890" s="22" t="s">
        <v>36</v>
      </c>
      <c r="H890" s="3"/>
      <c r="I890" s="3"/>
      <c r="J890" s="7" t="n">
        <f aca="false">LEN(E890)-SUMPRODUCT(LEN(E890)-LEN(SUBSTITUTE(E890,{"，","。","？","！","、","…","；","：","《","》"," ","“","”","—","（","）","·"},"")))</f>
        <v>24</v>
      </c>
      <c r="K890" s="23"/>
    </row>
    <row r="891" customFormat="false" ht="21" hidden="false" customHeight="true" outlineLevel="0" collapsed="false">
      <c r="A891" s="7" t="s">
        <v>189</v>
      </c>
      <c r="B891" s="15" t="n">
        <v>7</v>
      </c>
      <c r="C891" s="7" t="n">
        <v>23</v>
      </c>
      <c r="D891" s="22" t="s">
        <v>481</v>
      </c>
      <c r="E891" s="4" t="s">
        <v>1741</v>
      </c>
      <c r="F891" s="23"/>
      <c r="G891" s="22" t="s">
        <v>42</v>
      </c>
      <c r="H891" s="3"/>
      <c r="I891" s="3"/>
      <c r="J891" s="7" t="n">
        <f aca="false">LEN(E891)-SUMPRODUCT(LEN(E891)-LEN(SUBSTITUTE(E891,{"，","。","？","！","、","…","；","：","《","》"," ","“","”","—","（","）","·"},"")))</f>
        <v>19</v>
      </c>
      <c r="K891" s="23"/>
    </row>
    <row r="892" customFormat="false" ht="21" hidden="false" customHeight="true" outlineLevel="0" collapsed="false">
      <c r="A892" s="7" t="s">
        <v>189</v>
      </c>
      <c r="B892" s="15" t="n">
        <v>7</v>
      </c>
      <c r="C892" s="7" t="n">
        <v>24</v>
      </c>
      <c r="D892" s="22" t="s">
        <v>222</v>
      </c>
      <c r="E892" s="4" t="s">
        <v>1742</v>
      </c>
      <c r="F892" s="23"/>
      <c r="G892" s="22" t="s">
        <v>42</v>
      </c>
      <c r="H892" s="3"/>
      <c r="I892" s="3"/>
      <c r="J892" s="7" t="n">
        <f aca="false">LEN(E892)-SUMPRODUCT(LEN(E892)-LEN(SUBSTITUTE(E892,{"，","。","？","！","、","…","；","：","《","》"," ","“","”","—","（","）","·"},"")))</f>
        <v>12</v>
      </c>
      <c r="K892" s="23"/>
    </row>
    <row r="893" customFormat="false" ht="36" hidden="false" customHeight="true" outlineLevel="0" collapsed="false">
      <c r="A893" s="7" t="s">
        <v>189</v>
      </c>
      <c r="B893" s="15" t="n">
        <v>7</v>
      </c>
      <c r="C893" s="7" t="n">
        <v>25</v>
      </c>
      <c r="D893" s="22" t="s">
        <v>219</v>
      </c>
      <c r="E893" s="4" t="s">
        <v>1743</v>
      </c>
      <c r="F893" s="23"/>
      <c r="G893" s="22" t="s">
        <v>36</v>
      </c>
      <c r="H893" s="3" t="s">
        <v>1744</v>
      </c>
      <c r="I893" s="3"/>
      <c r="J893" s="7" t="n">
        <f aca="false">LEN(E893)-SUMPRODUCT(LEN(E893)-LEN(SUBSTITUTE(E893,{"，","。","？","！","、","…","；","：","《","》"," ","“","”","—","（","）","·"},"")))</f>
        <v>23</v>
      </c>
      <c r="K893" s="23"/>
    </row>
    <row r="894" customFormat="false" ht="36" hidden="false" customHeight="true" outlineLevel="0" collapsed="false">
      <c r="A894" s="7" t="s">
        <v>189</v>
      </c>
      <c r="B894" s="15" t="n">
        <v>7</v>
      </c>
      <c r="C894" s="7" t="n">
        <v>26</v>
      </c>
      <c r="D894" s="22" t="s">
        <v>222</v>
      </c>
      <c r="E894" s="4" t="s">
        <v>1745</v>
      </c>
      <c r="F894" s="23"/>
      <c r="G894" s="22" t="s">
        <v>36</v>
      </c>
      <c r="H894" s="3" t="s">
        <v>1746</v>
      </c>
      <c r="I894" s="3"/>
      <c r="J894" s="7" t="n">
        <f aca="false">LEN(E894)-SUMPRODUCT(LEN(E894)-LEN(SUBSTITUTE(E894,{"，","。","？","！","、","…","；","：","《","》"," ","“","”","—","（","）","·"},"")))</f>
        <v>20</v>
      </c>
      <c r="K894" s="23"/>
    </row>
    <row r="895" customFormat="false" ht="36" hidden="false" customHeight="true" outlineLevel="0" collapsed="false">
      <c r="A895" s="7" t="s">
        <v>189</v>
      </c>
      <c r="B895" s="15" t="n">
        <v>7</v>
      </c>
      <c r="C895" s="7" t="n">
        <v>27</v>
      </c>
      <c r="D895" s="22" t="s">
        <v>222</v>
      </c>
      <c r="E895" s="4" t="s">
        <v>1747</v>
      </c>
      <c r="F895" s="23"/>
      <c r="G895" s="22" t="s">
        <v>36</v>
      </c>
      <c r="H895" s="3"/>
      <c r="I895" s="3"/>
      <c r="J895" s="7" t="n">
        <f aca="false">LEN(E895)-SUMPRODUCT(LEN(E895)-LEN(SUBSTITUTE(E895,{"，","。","？","！","、","…","；","：","《","》"," ","“","”","—","（","）","·"},"")))</f>
        <v>28</v>
      </c>
      <c r="K895" s="23"/>
    </row>
    <row r="896" customFormat="false" ht="36" hidden="false" customHeight="true" outlineLevel="0" collapsed="false">
      <c r="A896" s="7" t="s">
        <v>189</v>
      </c>
      <c r="B896" s="15" t="n">
        <v>7</v>
      </c>
      <c r="C896" s="7" t="n">
        <v>28</v>
      </c>
      <c r="D896" s="22" t="s">
        <v>219</v>
      </c>
      <c r="E896" s="4" t="s">
        <v>1748</v>
      </c>
      <c r="F896" s="23" t="s">
        <v>305</v>
      </c>
      <c r="G896" s="22" t="s">
        <v>36</v>
      </c>
      <c r="H896" s="3"/>
      <c r="I896" s="3"/>
      <c r="J896" s="7" t="n">
        <f aca="false">LEN(E896)-SUMPRODUCT(LEN(E896)-LEN(SUBSTITUTE(E896,{"，","。","？","！","、","…","；","：","《","》"," ","“","”","—","（","）","·"},"")))</f>
        <v>7</v>
      </c>
      <c r="K896" s="23"/>
    </row>
    <row r="897" customFormat="false" ht="36" hidden="false" customHeight="true" outlineLevel="0" collapsed="false">
      <c r="A897" s="7" t="s">
        <v>189</v>
      </c>
      <c r="B897" s="15" t="n">
        <v>7</v>
      </c>
      <c r="C897" s="7" t="n">
        <v>29</v>
      </c>
      <c r="D897" s="22" t="s">
        <v>219</v>
      </c>
      <c r="E897" s="4" t="s">
        <v>1749</v>
      </c>
      <c r="F897" s="23"/>
      <c r="G897" s="22" t="s">
        <v>36</v>
      </c>
      <c r="H897" s="3"/>
      <c r="I897" s="3"/>
      <c r="J897" s="7" t="n">
        <f aca="false">LEN(E897)-SUMPRODUCT(LEN(E897)-LEN(SUBSTITUTE(E897,{"，","。","？","！","、","…","；","：","《","》"," ","“","”","—","（","）","·"},"")))</f>
        <v>23</v>
      </c>
      <c r="K897" s="23"/>
    </row>
    <row r="898" customFormat="false" ht="36" hidden="false" customHeight="true" outlineLevel="0" collapsed="false">
      <c r="A898" s="7" t="s">
        <v>189</v>
      </c>
      <c r="B898" s="15" t="n">
        <v>7</v>
      </c>
      <c r="C898" s="7" t="n">
        <v>30</v>
      </c>
      <c r="D898" s="22" t="s">
        <v>219</v>
      </c>
      <c r="E898" s="4" t="s">
        <v>1750</v>
      </c>
      <c r="F898" s="23"/>
      <c r="G898" s="22" t="s">
        <v>36</v>
      </c>
      <c r="H898" s="3"/>
      <c r="I898" s="3"/>
      <c r="J898" s="7" t="n">
        <f aca="false">LEN(E898)-SUMPRODUCT(LEN(E898)-LEN(SUBSTITUTE(E898,{"，","。","？","！","、","…","；","：","《","》"," ","“","”","—","（","）","·"},"")))</f>
        <v>31</v>
      </c>
      <c r="K898" s="23"/>
    </row>
    <row r="899" customFormat="false" ht="21" hidden="false" customHeight="true" outlineLevel="0" collapsed="false">
      <c r="A899" s="7" t="s">
        <v>189</v>
      </c>
      <c r="B899" s="15" t="n">
        <v>7</v>
      </c>
      <c r="C899" s="7" t="n">
        <v>31</v>
      </c>
      <c r="D899" s="22" t="s">
        <v>481</v>
      </c>
      <c r="E899" s="4" t="s">
        <v>1751</v>
      </c>
      <c r="F899" s="23"/>
      <c r="G899" s="22" t="s">
        <v>42</v>
      </c>
      <c r="H899" s="3"/>
      <c r="I899" s="3"/>
      <c r="J899" s="7" t="n">
        <f aca="false">LEN(E899)-SUMPRODUCT(LEN(E899)-LEN(SUBSTITUTE(E899,{"，","。","？","！","、","…","；","：","《","》"," ","“","”","—","（","）","·"},"")))</f>
        <v>14</v>
      </c>
      <c r="K899" s="23"/>
    </row>
    <row r="900" customFormat="false" ht="36" hidden="false" customHeight="true" outlineLevel="0" collapsed="false">
      <c r="A900" s="7" t="s">
        <v>189</v>
      </c>
      <c r="B900" s="15" t="n">
        <v>7</v>
      </c>
      <c r="C900" s="7" t="n">
        <v>32</v>
      </c>
      <c r="D900" s="22" t="s">
        <v>219</v>
      </c>
      <c r="E900" s="4" t="s">
        <v>1752</v>
      </c>
      <c r="F900" s="23"/>
      <c r="G900" s="22" t="s">
        <v>36</v>
      </c>
      <c r="H900" s="3"/>
      <c r="I900" s="3"/>
      <c r="J900" s="7" t="n">
        <f aca="false">LEN(E900)-SUMPRODUCT(LEN(E900)-LEN(SUBSTITUTE(E900,{"，","。","？","！","、","…","；","：","《","》"," ","“","”","—","（","）","·"},"")))</f>
        <v>24</v>
      </c>
      <c r="K900" s="23"/>
    </row>
    <row r="901" customFormat="false" ht="36" hidden="false" customHeight="true" outlineLevel="0" collapsed="false">
      <c r="A901" s="7" t="s">
        <v>189</v>
      </c>
      <c r="B901" s="15" t="n">
        <v>7</v>
      </c>
      <c r="C901" s="7" t="n">
        <v>33</v>
      </c>
      <c r="D901" s="22" t="s">
        <v>219</v>
      </c>
      <c r="E901" s="4" t="s">
        <v>1753</v>
      </c>
      <c r="F901" s="23"/>
      <c r="G901" s="22" t="s">
        <v>34</v>
      </c>
      <c r="H901" s="3"/>
      <c r="I901" s="3"/>
      <c r="J901" s="7" t="n">
        <f aca="false">LEN(E901)-SUMPRODUCT(LEN(E901)-LEN(SUBSTITUTE(E901,{"，","。","？","！","、","…","；","：","《","》"," ","“","”","—","（","）","·"},"")))</f>
        <v>30</v>
      </c>
      <c r="K901" s="23"/>
    </row>
    <row r="902" customFormat="false" ht="36" hidden="false" customHeight="true" outlineLevel="0" collapsed="false">
      <c r="A902" s="7" t="s">
        <v>189</v>
      </c>
      <c r="B902" s="15" t="n">
        <v>7</v>
      </c>
      <c r="C902" s="7" t="n">
        <v>34</v>
      </c>
      <c r="D902" s="22" t="s">
        <v>219</v>
      </c>
      <c r="E902" s="4" t="s">
        <v>1754</v>
      </c>
      <c r="F902" s="23"/>
      <c r="G902" s="22" t="s">
        <v>34</v>
      </c>
      <c r="H902" s="3" t="s">
        <v>1755</v>
      </c>
      <c r="I902" s="3"/>
      <c r="J902" s="7" t="n">
        <f aca="false">LEN(E902)-SUMPRODUCT(LEN(E902)-LEN(SUBSTITUTE(E902,{"，","。","？","！","、","…","；","：","《","》"," ","“","”","—","（","）","·"},"")))</f>
        <v>31</v>
      </c>
      <c r="K902" s="23"/>
    </row>
    <row r="903" customFormat="false" ht="21" hidden="false" customHeight="true" outlineLevel="0" collapsed="false">
      <c r="A903" s="7" t="s">
        <v>189</v>
      </c>
      <c r="B903" s="15" t="n">
        <v>7</v>
      </c>
      <c r="C903" s="7" t="n">
        <v>35</v>
      </c>
      <c r="D903" s="22" t="s">
        <v>232</v>
      </c>
      <c r="E903" s="4" t="s">
        <v>1756</v>
      </c>
      <c r="F903" s="23"/>
      <c r="G903" s="22" t="s">
        <v>42</v>
      </c>
      <c r="H903" s="3"/>
      <c r="I903" s="3"/>
      <c r="J903" s="7" t="n">
        <f aca="false">LEN(E903)-SUMPRODUCT(LEN(E903)-LEN(SUBSTITUTE(E903,{"，","。","？","！","、","…","；","：","《","》"," ","“","”","—","（","）","·"},"")))</f>
        <v>11</v>
      </c>
      <c r="K903" s="23"/>
    </row>
    <row r="904" customFormat="false" ht="36" hidden="false" customHeight="true" outlineLevel="0" collapsed="false">
      <c r="A904" s="7" t="s">
        <v>189</v>
      </c>
      <c r="B904" s="15" t="n">
        <v>7</v>
      </c>
      <c r="C904" s="7" t="n">
        <v>36</v>
      </c>
      <c r="D904" s="22" t="s">
        <v>219</v>
      </c>
      <c r="E904" s="4" t="s">
        <v>1757</v>
      </c>
      <c r="F904" s="23"/>
      <c r="G904" s="22" t="s">
        <v>40</v>
      </c>
      <c r="H904" s="3"/>
      <c r="I904" s="3"/>
      <c r="J904" s="7" t="n">
        <f aca="false">LEN(E904)-SUMPRODUCT(LEN(E904)-LEN(SUBSTITUTE(E904,{"，","。","？","！","、","…","；","：","《","》"," ","“","”","—","（","）","·"},"")))</f>
        <v>24</v>
      </c>
      <c r="K904" s="23"/>
    </row>
    <row r="905" customFormat="false" ht="36" hidden="false" customHeight="true" outlineLevel="0" collapsed="false">
      <c r="A905" s="7" t="s">
        <v>189</v>
      </c>
      <c r="B905" s="15" t="n">
        <v>7</v>
      </c>
      <c r="C905" s="7" t="n">
        <v>37</v>
      </c>
      <c r="D905" s="22" t="s">
        <v>219</v>
      </c>
      <c r="E905" s="4" t="s">
        <v>1758</v>
      </c>
      <c r="F905" s="23"/>
      <c r="G905" s="22" t="s">
        <v>40</v>
      </c>
      <c r="H905" s="3"/>
      <c r="I905" s="3"/>
      <c r="J905" s="7" t="n">
        <f aca="false">LEN(E905)-SUMPRODUCT(LEN(E905)-LEN(SUBSTITUTE(E905,{"，","。","？","！","、","…","；","：","《","》"," ","“","”","—","（","）","·"},"")))</f>
        <v>23</v>
      </c>
      <c r="K905" s="23"/>
    </row>
    <row r="906" customFormat="false" ht="36" hidden="false" customHeight="true" outlineLevel="0" collapsed="false">
      <c r="A906" s="7" t="s">
        <v>189</v>
      </c>
      <c r="B906" s="15" t="n">
        <v>7</v>
      </c>
      <c r="C906" s="7" t="n">
        <v>38</v>
      </c>
      <c r="D906" s="22" t="s">
        <v>219</v>
      </c>
      <c r="E906" s="4" t="s">
        <v>1759</v>
      </c>
      <c r="F906" s="23"/>
      <c r="G906" s="22" t="s">
        <v>40</v>
      </c>
      <c r="H906" s="3"/>
      <c r="I906" s="3"/>
      <c r="J906" s="7" t="n">
        <f aca="false">LEN(E906)-SUMPRODUCT(LEN(E906)-LEN(SUBSTITUTE(E906,{"，","。","？","！","、","…","；","：","《","》"," ","“","”","—","（","）","·"},"")))</f>
        <v>23</v>
      </c>
      <c r="K906" s="23"/>
    </row>
    <row r="907" customFormat="false" ht="21" hidden="false" customHeight="true" outlineLevel="0" collapsed="false">
      <c r="A907" s="7" t="s">
        <v>189</v>
      </c>
      <c r="B907" s="15" t="n">
        <v>7</v>
      </c>
      <c r="C907" s="7" t="n">
        <v>39</v>
      </c>
      <c r="D907" s="22" t="s">
        <v>481</v>
      </c>
      <c r="E907" s="4" t="s">
        <v>1760</v>
      </c>
      <c r="F907" s="23"/>
      <c r="G907" s="22" t="s">
        <v>42</v>
      </c>
      <c r="H907" s="3"/>
      <c r="I907" s="3"/>
      <c r="J907" s="7" t="n">
        <f aca="false">LEN(E907)-SUMPRODUCT(LEN(E907)-LEN(SUBSTITUTE(E907,{"，","。","？","！","、","…","；","：","《","》"," ","“","”","—","（","）","·"},"")))</f>
        <v>10</v>
      </c>
      <c r="K907" s="23"/>
    </row>
    <row r="908" customFormat="false" ht="36" hidden="false" customHeight="true" outlineLevel="0" collapsed="false">
      <c r="A908" s="7" t="s">
        <v>189</v>
      </c>
      <c r="B908" s="15" t="n">
        <v>7</v>
      </c>
      <c r="C908" s="7" t="n">
        <v>40</v>
      </c>
      <c r="D908" s="22" t="s">
        <v>219</v>
      </c>
      <c r="E908" s="4" t="s">
        <v>1761</v>
      </c>
      <c r="F908" s="23"/>
      <c r="G908" s="22" t="s">
        <v>40</v>
      </c>
      <c r="H908" s="3"/>
      <c r="I908" s="3"/>
      <c r="J908" s="7" t="n">
        <f aca="false">LEN(E908)-SUMPRODUCT(LEN(E908)-LEN(SUBSTITUTE(E908,{"，","。","？","！","、","…","；","：","《","》"," ","“","”","—","（","）","·"},"")))</f>
        <v>15</v>
      </c>
      <c r="K908" s="23"/>
    </row>
    <row r="909" customFormat="false" ht="21" hidden="false" customHeight="true" outlineLevel="0" collapsed="false">
      <c r="A909" s="7" t="s">
        <v>189</v>
      </c>
      <c r="B909" s="15" t="n">
        <v>7</v>
      </c>
      <c r="C909" s="7" t="n">
        <v>41</v>
      </c>
      <c r="D909" s="22" t="s">
        <v>222</v>
      </c>
      <c r="E909" s="4" t="s">
        <v>1762</v>
      </c>
      <c r="F909" s="23"/>
      <c r="G909" s="22" t="s">
        <v>42</v>
      </c>
      <c r="H909" s="3"/>
      <c r="I909" s="4" t="s">
        <v>1642</v>
      </c>
      <c r="J909" s="7" t="n">
        <f aca="false">LEN(E909)-SUMPRODUCT(LEN(E909)-LEN(SUBSTITUTE(E909,{"，","。","？","！","、","…","；","：","《","》"," ","“","”","—","（","）","·"},"")))</f>
        <v>15</v>
      </c>
      <c r="K909" s="23"/>
    </row>
    <row r="910" customFormat="false" ht="36" hidden="false" customHeight="true" outlineLevel="0" collapsed="false">
      <c r="A910" s="7" t="s">
        <v>189</v>
      </c>
      <c r="B910" s="15" t="n">
        <v>7</v>
      </c>
      <c r="C910" s="7" t="n">
        <v>42</v>
      </c>
      <c r="D910" s="22" t="s">
        <v>232</v>
      </c>
      <c r="E910" s="4" t="s">
        <v>1763</v>
      </c>
      <c r="F910" s="23"/>
      <c r="G910" s="22" t="s">
        <v>34</v>
      </c>
      <c r="H910" s="3"/>
      <c r="I910" s="4" t="s">
        <v>1642</v>
      </c>
      <c r="J910" s="7" t="n">
        <f aca="false">LEN(E910)-SUMPRODUCT(LEN(E910)-LEN(SUBSTITUTE(E910,{"，","。","？","！","、","…","；","：","《","》"," ","“","”","—","（","）","·"},"")))</f>
        <v>15</v>
      </c>
      <c r="K910" s="23"/>
    </row>
    <row r="911" customFormat="false" ht="36" hidden="false" customHeight="true" outlineLevel="0" collapsed="false">
      <c r="A911" s="7" t="s">
        <v>189</v>
      </c>
      <c r="B911" s="15" t="n">
        <v>7</v>
      </c>
      <c r="C911" s="7" t="n">
        <v>43</v>
      </c>
      <c r="D911" s="22" t="s">
        <v>219</v>
      </c>
      <c r="E911" s="4" t="s">
        <v>1764</v>
      </c>
      <c r="F911" s="23"/>
      <c r="G911" s="22" t="s">
        <v>34</v>
      </c>
      <c r="H911" s="3" t="s">
        <v>1765</v>
      </c>
      <c r="I911" s="3"/>
      <c r="J911" s="7" t="n">
        <f aca="false">LEN(E911)-SUMPRODUCT(LEN(E911)-LEN(SUBSTITUTE(E911,{"，","。","？","！","、","…","；","：","《","》"," ","“","”","—","（","）","·"},"")))</f>
        <v>21</v>
      </c>
      <c r="K911" s="23"/>
    </row>
    <row r="912" customFormat="false" ht="36" hidden="false" customHeight="true" outlineLevel="0" collapsed="false">
      <c r="A912" s="7" t="s">
        <v>189</v>
      </c>
      <c r="B912" s="15" t="n">
        <v>7</v>
      </c>
      <c r="C912" s="7" t="n">
        <v>44</v>
      </c>
      <c r="D912" s="22" t="s">
        <v>219</v>
      </c>
      <c r="E912" s="4" t="s">
        <v>1766</v>
      </c>
      <c r="F912" s="23" t="s">
        <v>1767</v>
      </c>
      <c r="G912" s="22" t="s">
        <v>40</v>
      </c>
      <c r="H912" s="3" t="s">
        <v>1768</v>
      </c>
      <c r="I912" s="3"/>
      <c r="J912" s="7" t="n">
        <f aca="false">LEN(E912)-SUMPRODUCT(LEN(E912)-LEN(SUBSTITUTE(E912,{"，","。","？","！","、","…","；","：","《","》"," ","“","”","—","（","）","·"},"")))</f>
        <v>27</v>
      </c>
      <c r="K912" s="23"/>
    </row>
    <row r="913" customFormat="false" ht="36" hidden="false" customHeight="true" outlineLevel="0" collapsed="false">
      <c r="A913" s="7" t="s">
        <v>193</v>
      </c>
      <c r="B913" s="15" t="n">
        <v>7</v>
      </c>
      <c r="C913" s="7" t="n">
        <v>1</v>
      </c>
      <c r="D913" s="22" t="s">
        <v>219</v>
      </c>
      <c r="E913" s="4" t="s">
        <v>1769</v>
      </c>
      <c r="F913" s="23" t="s">
        <v>1710</v>
      </c>
      <c r="G913" s="22" t="s">
        <v>40</v>
      </c>
      <c r="H913" s="3" t="s">
        <v>1386</v>
      </c>
      <c r="I913" s="4" t="s">
        <v>240</v>
      </c>
      <c r="J913" s="7" t="n">
        <f aca="false">LEN(E913)-SUMPRODUCT(LEN(E913)-LEN(SUBSTITUTE(E913,{"，","。","？","！","、","…","；","：","《","》"," ","“","”","—","（","）","·"},"")))</f>
        <v>22</v>
      </c>
      <c r="K913" s="23"/>
    </row>
    <row r="914" customFormat="false" ht="21" hidden="false" customHeight="true" outlineLevel="0" collapsed="false">
      <c r="A914" s="7" t="s">
        <v>193</v>
      </c>
      <c r="B914" s="15" t="n">
        <v>7</v>
      </c>
      <c r="C914" s="7" t="n">
        <v>2</v>
      </c>
      <c r="D914" s="22" t="s">
        <v>222</v>
      </c>
      <c r="E914" s="4" t="s">
        <v>1770</v>
      </c>
      <c r="F914" s="23"/>
      <c r="G914" s="22" t="s">
        <v>42</v>
      </c>
      <c r="H914" s="3"/>
      <c r="I914" s="3"/>
      <c r="J914" s="7" t="n">
        <f aca="false">LEN(E914)-SUMPRODUCT(LEN(E914)-LEN(SUBSTITUTE(E914,{"，","。","？","！","、","…","；","：","《","》"," ","“","”","—","（","）","·"},"")))</f>
        <v>14</v>
      </c>
      <c r="K914" s="23"/>
    </row>
    <row r="915" customFormat="false" ht="36" hidden="false" customHeight="true" outlineLevel="0" collapsed="false">
      <c r="A915" s="7" t="s">
        <v>193</v>
      </c>
      <c r="B915" s="15" t="n">
        <v>7</v>
      </c>
      <c r="C915" s="7" t="n">
        <v>3</v>
      </c>
      <c r="D915" s="22" t="s">
        <v>232</v>
      </c>
      <c r="E915" s="4" t="s">
        <v>1771</v>
      </c>
      <c r="F915" s="23"/>
      <c r="G915" s="22" t="s">
        <v>40</v>
      </c>
      <c r="H915" s="3"/>
      <c r="I915" s="4" t="s">
        <v>1642</v>
      </c>
      <c r="J915" s="7" t="n">
        <f aca="false">LEN(E915)-SUMPRODUCT(LEN(E915)-LEN(SUBSTITUTE(E915,{"，","。","？","！","、","…","；","：","《","》"," ","“","”","—","（","）","·"},"")))</f>
        <v>23</v>
      </c>
      <c r="K915" s="23"/>
    </row>
    <row r="916" customFormat="false" ht="36" hidden="false" customHeight="true" outlineLevel="0" collapsed="false">
      <c r="A916" s="7" t="s">
        <v>193</v>
      </c>
      <c r="B916" s="15" t="n">
        <v>7</v>
      </c>
      <c r="C916" s="7" t="n">
        <v>4</v>
      </c>
      <c r="D916" s="22" t="s">
        <v>219</v>
      </c>
      <c r="E916" s="4" t="s">
        <v>1772</v>
      </c>
      <c r="F916" s="23" t="s">
        <v>1773</v>
      </c>
      <c r="G916" s="22" t="s">
        <v>36</v>
      </c>
      <c r="H916" s="3"/>
      <c r="I916" s="3"/>
      <c r="J916" s="7" t="n">
        <f aca="false">LEN(E916)-SUMPRODUCT(LEN(E916)-LEN(SUBSTITUTE(E916,{"，","。","？","！","、","…","；","：","《","》"," ","“","”","—","（","）","·"},"")))</f>
        <v>19</v>
      </c>
      <c r="K916" s="23"/>
    </row>
    <row r="917" customFormat="false" ht="21" hidden="false" customHeight="true" outlineLevel="0" collapsed="false">
      <c r="A917" s="7" t="s">
        <v>193</v>
      </c>
      <c r="B917" s="15" t="n">
        <v>7</v>
      </c>
      <c r="C917" s="7" t="n">
        <v>5</v>
      </c>
      <c r="D917" s="22" t="s">
        <v>232</v>
      </c>
      <c r="E917" s="4" t="s">
        <v>1774</v>
      </c>
      <c r="F917" s="23"/>
      <c r="G917" s="22" t="s">
        <v>42</v>
      </c>
      <c r="H917" s="3"/>
      <c r="I917" s="3"/>
      <c r="J917" s="7" t="n">
        <f aca="false">LEN(E917)-SUMPRODUCT(LEN(E917)-LEN(SUBSTITUTE(E917,{"，","。","？","！","、","…","；","：","《","》"," ","“","”","—","（","）","·"},"")))</f>
        <v>23</v>
      </c>
      <c r="K917" s="23"/>
    </row>
    <row r="918" customFormat="false" ht="36" hidden="false" customHeight="true" outlineLevel="0" collapsed="false">
      <c r="A918" s="7" t="s">
        <v>193</v>
      </c>
      <c r="B918" s="15" t="n">
        <v>7</v>
      </c>
      <c r="C918" s="7" t="n">
        <v>6</v>
      </c>
      <c r="D918" s="22" t="s">
        <v>219</v>
      </c>
      <c r="E918" s="4" t="s">
        <v>1775</v>
      </c>
      <c r="F918" s="23"/>
      <c r="G918" s="22" t="s">
        <v>36</v>
      </c>
      <c r="H918" s="3"/>
      <c r="I918" s="3"/>
      <c r="J918" s="7" t="n">
        <f aca="false">LEN(E918)-SUMPRODUCT(LEN(E918)-LEN(SUBSTITUTE(E918,{"，","。","？","！","、","…","；","：","《","》"," ","“","”","—","（","）","·"},"")))</f>
        <v>14</v>
      </c>
      <c r="K918" s="23"/>
    </row>
    <row r="919" customFormat="false" ht="36" hidden="false" customHeight="true" outlineLevel="0" collapsed="false">
      <c r="A919" s="7" t="s">
        <v>193</v>
      </c>
      <c r="B919" s="15" t="n">
        <v>7</v>
      </c>
      <c r="C919" s="7" t="n">
        <v>7</v>
      </c>
      <c r="D919" s="22" t="s">
        <v>222</v>
      </c>
      <c r="E919" s="4" t="s">
        <v>1776</v>
      </c>
      <c r="F919" s="23" t="s">
        <v>1602</v>
      </c>
      <c r="G919" s="22" t="s">
        <v>36</v>
      </c>
      <c r="H919" s="3"/>
      <c r="I919" s="4" t="s">
        <v>1642</v>
      </c>
      <c r="J919" s="7" t="n">
        <f aca="false">LEN(E919)-SUMPRODUCT(LEN(E919)-LEN(SUBSTITUTE(E919,{"，","。","？","！","、","…","；","：","《","》"," ","“","”","—","（","）","·"},"")))</f>
        <v>25</v>
      </c>
      <c r="K919" s="23"/>
    </row>
    <row r="920" customFormat="false" ht="36" hidden="false" customHeight="true" outlineLevel="0" collapsed="false">
      <c r="A920" s="7" t="s">
        <v>193</v>
      </c>
      <c r="B920" s="15" t="n">
        <v>7</v>
      </c>
      <c r="C920" s="7" t="n">
        <v>8</v>
      </c>
      <c r="D920" s="22" t="s">
        <v>481</v>
      </c>
      <c r="E920" s="4" t="s">
        <v>1777</v>
      </c>
      <c r="F920" s="23" t="s">
        <v>234</v>
      </c>
      <c r="G920" s="22" t="s">
        <v>36</v>
      </c>
      <c r="H920" s="3"/>
      <c r="I920" s="3"/>
      <c r="J920" s="7" t="n">
        <f aca="false">LEN(E920)-SUMPRODUCT(LEN(E920)-LEN(SUBSTITUTE(E920,{"，","。","？","！","、","…","；","：","《","》"," ","“","”","—","（","）","·"},"")))</f>
        <v>30</v>
      </c>
      <c r="K920" s="23"/>
    </row>
    <row r="921" customFormat="false" ht="36" hidden="false" customHeight="true" outlineLevel="0" collapsed="false">
      <c r="A921" s="7" t="s">
        <v>193</v>
      </c>
      <c r="B921" s="15" t="n">
        <v>7</v>
      </c>
      <c r="C921" s="7" t="n">
        <v>9</v>
      </c>
      <c r="D921" s="22" t="s">
        <v>219</v>
      </c>
      <c r="E921" s="4" t="s">
        <v>1778</v>
      </c>
      <c r="F921" s="23"/>
      <c r="G921" s="22" t="s">
        <v>36</v>
      </c>
      <c r="H921" s="3"/>
      <c r="I921" s="3"/>
      <c r="J921" s="7" t="n">
        <f aca="false">LEN(E921)-SUMPRODUCT(LEN(E921)-LEN(SUBSTITUTE(E921,{"，","。","？","！","、","…","；","：","《","》"," ","“","”","—","（","）","·"},"")))</f>
        <v>17</v>
      </c>
      <c r="K921" s="23"/>
    </row>
    <row r="922" customFormat="false" ht="36" hidden="false" customHeight="true" outlineLevel="0" collapsed="false">
      <c r="A922" s="7" t="s">
        <v>193</v>
      </c>
      <c r="B922" s="15" t="n">
        <v>7</v>
      </c>
      <c r="C922" s="7" t="n">
        <v>10</v>
      </c>
      <c r="D922" s="22" t="s">
        <v>232</v>
      </c>
      <c r="E922" s="4" t="s">
        <v>1779</v>
      </c>
      <c r="F922" s="23"/>
      <c r="G922" s="22" t="s">
        <v>40</v>
      </c>
      <c r="H922" s="3"/>
      <c r="I922" s="3"/>
      <c r="J922" s="7" t="n">
        <f aca="false">LEN(E922)-SUMPRODUCT(LEN(E922)-LEN(SUBSTITUTE(E922,{"，","。","？","！","、","…","；","：","《","》"," ","“","”","—","（","）","·"},"")))</f>
        <v>13</v>
      </c>
      <c r="K922" s="23"/>
    </row>
    <row r="923" customFormat="false" ht="36" hidden="false" customHeight="true" outlineLevel="0" collapsed="false">
      <c r="A923" s="7" t="s">
        <v>193</v>
      </c>
      <c r="B923" s="15" t="n">
        <v>7</v>
      </c>
      <c r="C923" s="7" t="n">
        <v>11</v>
      </c>
      <c r="D923" s="22" t="s">
        <v>219</v>
      </c>
      <c r="E923" s="4" t="s">
        <v>1780</v>
      </c>
      <c r="F923" s="23" t="s">
        <v>1781</v>
      </c>
      <c r="G923" s="22" t="s">
        <v>36</v>
      </c>
      <c r="H923" s="3"/>
      <c r="I923" s="3"/>
      <c r="J923" s="7" t="n">
        <f aca="false">LEN(E923)-SUMPRODUCT(LEN(E923)-LEN(SUBSTITUTE(E923,{"，","。","？","！","、","…","；","：","《","》"," ","“","”","—","（","）","·"},"")))</f>
        <v>21</v>
      </c>
      <c r="K923" s="23"/>
    </row>
    <row r="924" customFormat="false" ht="36" hidden="false" customHeight="true" outlineLevel="0" collapsed="false">
      <c r="A924" s="7" t="s">
        <v>193</v>
      </c>
      <c r="B924" s="15" t="n">
        <v>7</v>
      </c>
      <c r="C924" s="7" t="n">
        <v>12</v>
      </c>
      <c r="D924" s="22" t="s">
        <v>222</v>
      </c>
      <c r="E924" s="4" t="s">
        <v>1782</v>
      </c>
      <c r="F924" s="23"/>
      <c r="G924" s="22" t="s">
        <v>36</v>
      </c>
      <c r="H924" s="3"/>
      <c r="I924" s="3"/>
      <c r="J924" s="7" t="n">
        <f aca="false">LEN(E924)-SUMPRODUCT(LEN(E924)-LEN(SUBSTITUTE(E924,{"，","。","？","！","、","…","；","：","《","》"," ","“","”","—","（","）","·"},"")))</f>
        <v>29</v>
      </c>
      <c r="K924" s="23"/>
    </row>
    <row r="925" customFormat="false" ht="36" hidden="false" customHeight="true" outlineLevel="0" collapsed="false">
      <c r="A925" s="7" t="s">
        <v>193</v>
      </c>
      <c r="B925" s="15" t="n">
        <v>7</v>
      </c>
      <c r="C925" s="7" t="n">
        <v>13</v>
      </c>
      <c r="D925" s="22" t="s">
        <v>219</v>
      </c>
      <c r="E925" s="4" t="s">
        <v>1783</v>
      </c>
      <c r="F925" s="23" t="s">
        <v>1667</v>
      </c>
      <c r="G925" s="22" t="s">
        <v>36</v>
      </c>
      <c r="H925" s="3"/>
      <c r="I925" s="3"/>
      <c r="J925" s="7" t="n">
        <f aca="false">LEN(E925)-SUMPRODUCT(LEN(E925)-LEN(SUBSTITUTE(E925,{"，","。","？","！","、","…","；","：","《","》"," ","“","”","—","（","）","·"},"")))</f>
        <v>23</v>
      </c>
      <c r="K925" s="23"/>
    </row>
    <row r="926" customFormat="false" ht="36" hidden="false" customHeight="true" outlineLevel="0" collapsed="false">
      <c r="A926" s="7" t="s">
        <v>193</v>
      </c>
      <c r="B926" s="15" t="n">
        <v>7</v>
      </c>
      <c r="C926" s="7" t="n">
        <v>14</v>
      </c>
      <c r="D926" s="22" t="s">
        <v>481</v>
      </c>
      <c r="E926" s="4" t="s">
        <v>1784</v>
      </c>
      <c r="F926" s="23"/>
      <c r="G926" s="22" t="s">
        <v>36</v>
      </c>
      <c r="H926" s="3"/>
      <c r="I926" s="3"/>
      <c r="J926" s="7" t="n">
        <f aca="false">LEN(E926)-SUMPRODUCT(LEN(E926)-LEN(SUBSTITUTE(E926,{"，","。","？","！","、","…","；","：","《","》"," ","“","”","—","（","）","·"},"")))</f>
        <v>30</v>
      </c>
      <c r="K926" s="23"/>
    </row>
    <row r="927" customFormat="false" ht="36" hidden="false" customHeight="true" outlineLevel="0" collapsed="false">
      <c r="A927" s="7" t="s">
        <v>193</v>
      </c>
      <c r="B927" s="15" t="n">
        <v>7</v>
      </c>
      <c r="C927" s="7" t="n">
        <v>15</v>
      </c>
      <c r="D927" s="22" t="s">
        <v>222</v>
      </c>
      <c r="E927" s="4" t="s">
        <v>1785</v>
      </c>
      <c r="F927" s="23"/>
      <c r="G927" s="22" t="s">
        <v>36</v>
      </c>
      <c r="H927" s="3"/>
      <c r="I927" s="4" t="s">
        <v>1786</v>
      </c>
      <c r="J927" s="7" t="n">
        <f aca="false">LEN(E927)-SUMPRODUCT(LEN(E927)-LEN(SUBSTITUTE(E927,{"，","。","？","！","、","…","；","：","《","》"," ","“","”","—","（","）","·"},"")))</f>
        <v>25</v>
      </c>
      <c r="K927" s="23"/>
    </row>
    <row r="928" customFormat="false" ht="36" hidden="false" customHeight="true" outlineLevel="0" collapsed="false">
      <c r="A928" s="7" t="s">
        <v>193</v>
      </c>
      <c r="B928" s="15" t="n">
        <v>7</v>
      </c>
      <c r="C928" s="7" t="n">
        <v>16</v>
      </c>
      <c r="D928" s="22" t="s">
        <v>219</v>
      </c>
      <c r="E928" s="4" t="s">
        <v>1787</v>
      </c>
      <c r="F928" s="23" t="s">
        <v>1788</v>
      </c>
      <c r="G928" s="22" t="s">
        <v>36</v>
      </c>
      <c r="H928" s="3"/>
      <c r="I928" s="3"/>
      <c r="J928" s="7" t="n">
        <f aca="false">LEN(E928)-SUMPRODUCT(LEN(E928)-LEN(SUBSTITUTE(E928,{"，","。","？","！","、","…","；","：","《","》"," ","“","”","—","（","）","·"},"")))</f>
        <v>24</v>
      </c>
      <c r="K928" s="23"/>
    </row>
    <row r="929" customFormat="false" ht="36" hidden="false" customHeight="true" outlineLevel="0" collapsed="false">
      <c r="A929" s="7" t="s">
        <v>193</v>
      </c>
      <c r="B929" s="15" t="n">
        <v>7</v>
      </c>
      <c r="C929" s="7" t="n">
        <v>17</v>
      </c>
      <c r="D929" s="22" t="s">
        <v>219</v>
      </c>
      <c r="E929" s="4" t="s">
        <v>1789</v>
      </c>
      <c r="F929" s="23"/>
      <c r="G929" s="22" t="s">
        <v>40</v>
      </c>
      <c r="H929" s="3"/>
      <c r="I929" s="3"/>
      <c r="J929" s="7" t="n">
        <f aca="false">LEN(E929)-SUMPRODUCT(LEN(E929)-LEN(SUBSTITUTE(E929,{"，","。","？","！","、","…","；","：","《","》"," ","“","”","—","（","）","·"},"")))</f>
        <v>20</v>
      </c>
      <c r="K929" s="23"/>
    </row>
    <row r="930" customFormat="false" ht="36" hidden="false" customHeight="true" outlineLevel="0" collapsed="false">
      <c r="A930" s="7" t="s">
        <v>193</v>
      </c>
      <c r="B930" s="15" t="n">
        <v>7</v>
      </c>
      <c r="C930" s="7" t="n">
        <v>18</v>
      </c>
      <c r="D930" s="22" t="s">
        <v>219</v>
      </c>
      <c r="E930" s="4" t="s">
        <v>1790</v>
      </c>
      <c r="F930" s="23"/>
      <c r="G930" s="22" t="s">
        <v>40</v>
      </c>
      <c r="H930" s="3"/>
      <c r="I930" s="4" t="s">
        <v>240</v>
      </c>
      <c r="J930" s="7" t="n">
        <f aca="false">LEN(E930)-SUMPRODUCT(LEN(E930)-LEN(SUBSTITUTE(E930,{"，","。","？","！","、","…","；","：","《","》"," ","“","”","—","（","）","·"},"")))</f>
        <v>28</v>
      </c>
      <c r="K930" s="23"/>
    </row>
    <row r="931" customFormat="false" ht="36" hidden="false" customHeight="true" outlineLevel="0" collapsed="false">
      <c r="A931" s="7" t="s">
        <v>193</v>
      </c>
      <c r="B931" s="15" t="n">
        <v>7</v>
      </c>
      <c r="C931" s="7" t="n">
        <v>19</v>
      </c>
      <c r="D931" s="22" t="s">
        <v>219</v>
      </c>
      <c r="E931" s="4" t="s">
        <v>1791</v>
      </c>
      <c r="F931" s="23"/>
      <c r="G931" s="22" t="s">
        <v>40</v>
      </c>
      <c r="H931" s="3"/>
      <c r="I931" s="3"/>
      <c r="J931" s="7" t="n">
        <f aca="false">LEN(E931)-SUMPRODUCT(LEN(E931)-LEN(SUBSTITUTE(E931,{"，","。","？","！","、","…","；","：","《","》"," ","“","”","—","（","）","·"},"")))</f>
        <v>27</v>
      </c>
      <c r="K931" s="23"/>
    </row>
    <row r="932" customFormat="false" ht="36" hidden="false" customHeight="true" outlineLevel="0" collapsed="false">
      <c r="A932" s="7" t="s">
        <v>193</v>
      </c>
      <c r="B932" s="15" t="n">
        <v>7</v>
      </c>
      <c r="C932" s="7" t="n">
        <v>20</v>
      </c>
      <c r="D932" s="22" t="s">
        <v>219</v>
      </c>
      <c r="E932" s="4" t="s">
        <v>1792</v>
      </c>
      <c r="F932" s="23"/>
      <c r="G932" s="22" t="s">
        <v>40</v>
      </c>
      <c r="H932" s="3"/>
      <c r="I932" s="3"/>
      <c r="J932" s="7" t="n">
        <f aca="false">LEN(E932)-SUMPRODUCT(LEN(E932)-LEN(SUBSTITUTE(E932,{"，","。","？","！","、","…","；","：","《","》"," ","“","”","—","（","）","·"},"")))</f>
        <v>21</v>
      </c>
      <c r="K932" s="23"/>
    </row>
    <row r="933" customFormat="false" ht="51" hidden="false" customHeight="true" outlineLevel="0" collapsed="false">
      <c r="A933" s="7" t="s">
        <v>193</v>
      </c>
      <c r="B933" s="15" t="n">
        <v>7</v>
      </c>
      <c r="C933" s="7" t="n">
        <v>21</v>
      </c>
      <c r="D933" s="22" t="s">
        <v>219</v>
      </c>
      <c r="E933" s="4" t="s">
        <v>1793</v>
      </c>
      <c r="F933" s="23"/>
      <c r="G933" s="22" t="s">
        <v>40</v>
      </c>
      <c r="H933" s="3"/>
      <c r="I933" s="3"/>
      <c r="J933" s="7" t="n">
        <f aca="false">LEN(E933)-SUMPRODUCT(LEN(E933)-LEN(SUBSTITUTE(E933,{"，","。","？","！","、","…","；","：","《","》"," ","“","”","—","（","）","·"},"")))</f>
        <v>46</v>
      </c>
      <c r="K933" s="23"/>
    </row>
    <row r="934" customFormat="false" ht="36" hidden="false" customHeight="true" outlineLevel="0" collapsed="false">
      <c r="A934" s="7" t="s">
        <v>193</v>
      </c>
      <c r="B934" s="15" t="n">
        <v>7</v>
      </c>
      <c r="C934" s="7" t="n">
        <v>22</v>
      </c>
      <c r="D934" s="22" t="s">
        <v>232</v>
      </c>
      <c r="E934" s="4" t="s">
        <v>1794</v>
      </c>
      <c r="F934" s="23"/>
      <c r="G934" s="22" t="s">
        <v>40</v>
      </c>
      <c r="H934" s="3"/>
      <c r="I934" s="3"/>
      <c r="J934" s="7" t="n">
        <f aca="false">LEN(E934)-SUMPRODUCT(LEN(E934)-LEN(SUBSTITUTE(E934,{"，","。","？","！","、","…","；","：","《","》"," ","“","”","—","（","）","·"},"")))</f>
        <v>22</v>
      </c>
      <c r="K934" s="23"/>
    </row>
    <row r="935" customFormat="false" ht="36" hidden="false" customHeight="true" outlineLevel="0" collapsed="false">
      <c r="A935" s="7" t="s">
        <v>193</v>
      </c>
      <c r="B935" s="15" t="n">
        <v>7</v>
      </c>
      <c r="C935" s="7" t="n">
        <v>23</v>
      </c>
      <c r="D935" s="22" t="s">
        <v>219</v>
      </c>
      <c r="E935" s="4" t="s">
        <v>1795</v>
      </c>
      <c r="F935" s="23"/>
      <c r="G935" s="22" t="s">
        <v>40</v>
      </c>
      <c r="H935" s="3"/>
      <c r="I935" s="3"/>
      <c r="J935" s="7" t="n">
        <f aca="false">LEN(E935)-SUMPRODUCT(LEN(E935)-LEN(SUBSTITUTE(E935,{"，","。","？","！","、","…","；","：","《","》"," ","“","”","—","（","）","·"},"")))</f>
        <v>32</v>
      </c>
      <c r="K935" s="23"/>
    </row>
    <row r="936" customFormat="false" ht="36" hidden="false" customHeight="true" outlineLevel="0" collapsed="false">
      <c r="A936" s="7" t="s">
        <v>193</v>
      </c>
      <c r="B936" s="15" t="n">
        <v>7</v>
      </c>
      <c r="C936" s="7" t="n">
        <v>24</v>
      </c>
      <c r="D936" s="22" t="s">
        <v>481</v>
      </c>
      <c r="E936" s="4" t="s">
        <v>1796</v>
      </c>
      <c r="F936" s="23"/>
      <c r="G936" s="22" t="s">
        <v>40</v>
      </c>
      <c r="H936" s="3"/>
      <c r="I936" s="4" t="s">
        <v>240</v>
      </c>
      <c r="J936" s="7" t="n">
        <f aca="false">LEN(E936)-SUMPRODUCT(LEN(E936)-LEN(SUBSTITUTE(E936,{"，","。","？","！","、","…","；","：","《","》"," ","“","”","—","（","）","·"},"")))</f>
        <v>8</v>
      </c>
      <c r="K936" s="23"/>
    </row>
    <row r="937" customFormat="false" ht="36" hidden="false" customHeight="true" outlineLevel="0" collapsed="false">
      <c r="A937" s="7" t="s">
        <v>193</v>
      </c>
      <c r="B937" s="15" t="n">
        <v>7</v>
      </c>
      <c r="C937" s="7" t="n">
        <v>25</v>
      </c>
      <c r="D937" s="22" t="s">
        <v>219</v>
      </c>
      <c r="E937" s="4" t="s">
        <v>1797</v>
      </c>
      <c r="F937" s="23"/>
      <c r="G937" s="22" t="s">
        <v>40</v>
      </c>
      <c r="H937" s="3"/>
      <c r="I937" s="4" t="s">
        <v>240</v>
      </c>
      <c r="J937" s="7" t="n">
        <f aca="false">LEN(E937)-SUMPRODUCT(LEN(E937)-LEN(SUBSTITUTE(E937,{"，","。","？","！","、","…","；","：","《","》"," ","“","”","—","（","）","·"},"")))</f>
        <v>27</v>
      </c>
      <c r="K937" s="23"/>
    </row>
    <row r="938" customFormat="false" ht="36" hidden="false" customHeight="true" outlineLevel="0" collapsed="false">
      <c r="A938" s="7" t="s">
        <v>193</v>
      </c>
      <c r="B938" s="15" t="n">
        <v>7</v>
      </c>
      <c r="C938" s="7" t="n">
        <v>26</v>
      </c>
      <c r="D938" s="22" t="s">
        <v>232</v>
      </c>
      <c r="E938" s="4" t="s">
        <v>1798</v>
      </c>
      <c r="F938" s="23"/>
      <c r="G938" s="22" t="s">
        <v>40</v>
      </c>
      <c r="H938" s="3"/>
      <c r="I938" s="3"/>
      <c r="J938" s="7" t="n">
        <f aca="false">LEN(E938)-SUMPRODUCT(LEN(E938)-LEN(SUBSTITUTE(E938,{"，","。","？","！","、","…","；","：","《","》"," ","“","”","—","（","）","·"},"")))</f>
        <v>11</v>
      </c>
      <c r="K938" s="23"/>
    </row>
    <row r="939" customFormat="false" ht="36" hidden="false" customHeight="true" outlineLevel="0" collapsed="false">
      <c r="A939" s="7" t="s">
        <v>193</v>
      </c>
      <c r="B939" s="15" t="n">
        <v>7</v>
      </c>
      <c r="C939" s="7" t="n">
        <v>27</v>
      </c>
      <c r="D939" s="22" t="s">
        <v>219</v>
      </c>
      <c r="E939" s="4" t="s">
        <v>1799</v>
      </c>
      <c r="F939" s="23"/>
      <c r="G939" s="22" t="s">
        <v>40</v>
      </c>
      <c r="H939" s="3"/>
      <c r="I939" s="3"/>
      <c r="J939" s="7" t="n">
        <f aca="false">LEN(E939)-SUMPRODUCT(LEN(E939)-LEN(SUBSTITUTE(E939,{"，","。","？","！","、","…","；","：","《","》"," ","“","”","—","（","）","·"},"")))</f>
        <v>23</v>
      </c>
      <c r="K939" s="23"/>
    </row>
    <row r="940" customFormat="false" ht="36" hidden="false" customHeight="true" outlineLevel="0" collapsed="false">
      <c r="A940" s="7" t="s">
        <v>193</v>
      </c>
      <c r="B940" s="15" t="n">
        <v>7</v>
      </c>
      <c r="C940" s="7" t="n">
        <v>28</v>
      </c>
      <c r="D940" s="22" t="s">
        <v>219</v>
      </c>
      <c r="E940" s="4" t="s">
        <v>1800</v>
      </c>
      <c r="F940" s="23"/>
      <c r="G940" s="22" t="s">
        <v>40</v>
      </c>
      <c r="H940" s="3"/>
      <c r="I940" s="3"/>
      <c r="J940" s="7" t="n">
        <f aca="false">LEN(E940)-SUMPRODUCT(LEN(E940)-LEN(SUBSTITUTE(E940,{"，","。","？","！","、","…","；","：","《","》"," ","“","”","—","（","）","·"},"")))</f>
        <v>34</v>
      </c>
      <c r="K940" s="23"/>
    </row>
    <row r="941" customFormat="false" ht="36" hidden="false" customHeight="true" outlineLevel="0" collapsed="false">
      <c r="A941" s="7" t="s">
        <v>193</v>
      </c>
      <c r="B941" s="15" t="n">
        <v>7</v>
      </c>
      <c r="C941" s="7" t="n">
        <v>29</v>
      </c>
      <c r="D941" s="22" t="s">
        <v>232</v>
      </c>
      <c r="E941" s="4" t="s">
        <v>1801</v>
      </c>
      <c r="F941" s="23" t="s">
        <v>1802</v>
      </c>
      <c r="G941" s="22" t="s">
        <v>40</v>
      </c>
      <c r="H941" s="3"/>
      <c r="I941" s="3"/>
      <c r="J941" s="7" t="n">
        <f aca="false">LEN(E941)-SUMPRODUCT(LEN(E941)-LEN(SUBSTITUTE(E941,{"，","。","？","！","、","…","；","：","《","》"," ","“","”","—","（","）","·"},"")))</f>
        <v>17</v>
      </c>
      <c r="K941" s="23"/>
    </row>
    <row r="942" customFormat="false" ht="21" hidden="false" customHeight="true" outlineLevel="0" collapsed="false">
      <c r="A942" s="7" t="s">
        <v>193</v>
      </c>
      <c r="B942" s="15" t="n">
        <v>7</v>
      </c>
      <c r="C942" s="7" t="n">
        <v>30</v>
      </c>
      <c r="D942" s="22" t="s">
        <v>222</v>
      </c>
      <c r="E942" s="4" t="s">
        <v>1803</v>
      </c>
      <c r="F942" s="23"/>
      <c r="G942" s="22" t="s">
        <v>42</v>
      </c>
      <c r="H942" s="3"/>
      <c r="I942" s="3"/>
      <c r="J942" s="7" t="n">
        <f aca="false">LEN(E942)-SUMPRODUCT(LEN(E942)-LEN(SUBSTITUTE(E942,{"，","。","？","！","、","…","；","：","《","》"," ","“","”","—","（","）","·"},"")))</f>
        <v>20</v>
      </c>
      <c r="K942" s="23"/>
    </row>
    <row r="943" customFormat="false" ht="21" hidden="false" customHeight="true" outlineLevel="0" collapsed="false">
      <c r="A943" s="7" t="s">
        <v>193</v>
      </c>
      <c r="B943" s="15" t="n">
        <v>7</v>
      </c>
      <c r="C943" s="7" t="n">
        <v>31</v>
      </c>
      <c r="D943" s="22" t="s">
        <v>481</v>
      </c>
      <c r="E943" s="4" t="s">
        <v>1804</v>
      </c>
      <c r="F943" s="23"/>
      <c r="G943" s="22" t="s">
        <v>42</v>
      </c>
      <c r="H943" s="3"/>
      <c r="I943" s="4" t="s">
        <v>1642</v>
      </c>
      <c r="J943" s="7" t="n">
        <f aca="false">LEN(E943)-SUMPRODUCT(LEN(E943)-LEN(SUBSTITUTE(E943,{"，","。","？","！","、","…","；","：","《","》"," ","“","”","—","（","）","·"},"")))</f>
        <v>19</v>
      </c>
      <c r="K943" s="23"/>
    </row>
    <row r="944" customFormat="false" ht="36" hidden="false" customHeight="true" outlineLevel="0" collapsed="false">
      <c r="A944" s="7" t="s">
        <v>193</v>
      </c>
      <c r="B944" s="15" t="n">
        <v>7</v>
      </c>
      <c r="C944" s="7" t="n">
        <v>32</v>
      </c>
      <c r="D944" s="22" t="s">
        <v>219</v>
      </c>
      <c r="E944" s="4" t="s">
        <v>1805</v>
      </c>
      <c r="F944" s="23"/>
      <c r="G944" s="22" t="s">
        <v>36</v>
      </c>
      <c r="H944" s="3"/>
      <c r="I944" s="3"/>
      <c r="J944" s="7" t="n">
        <f aca="false">LEN(E944)-SUMPRODUCT(LEN(E944)-LEN(SUBSTITUTE(E944,{"，","。","？","！","、","…","；","：","《","》"," ","“","”","—","（","）","·"},"")))</f>
        <v>30</v>
      </c>
      <c r="K944" s="23"/>
    </row>
    <row r="945" customFormat="false" ht="36" hidden="false" customHeight="true" outlineLevel="0" collapsed="false">
      <c r="A945" s="7" t="s">
        <v>193</v>
      </c>
      <c r="B945" s="15" t="n">
        <v>7</v>
      </c>
      <c r="C945" s="7" t="n">
        <v>33</v>
      </c>
      <c r="D945" s="22" t="s">
        <v>219</v>
      </c>
      <c r="E945" s="4" t="s">
        <v>1806</v>
      </c>
      <c r="F945" s="23"/>
      <c r="G945" s="22" t="s">
        <v>34</v>
      </c>
      <c r="H945" s="3" t="s">
        <v>1807</v>
      </c>
      <c r="I945" s="3"/>
      <c r="J945" s="7" t="n">
        <f aca="false">LEN(E945)-SUMPRODUCT(LEN(E945)-LEN(SUBSTITUTE(E945,{"，","。","？","！","、","…","；","：","《","》"," ","“","”","—","（","）","·"},"")))</f>
        <v>32</v>
      </c>
      <c r="K945" s="23"/>
    </row>
    <row r="946" customFormat="false" ht="36" hidden="false" customHeight="true" outlineLevel="0" collapsed="false">
      <c r="A946" s="7" t="s">
        <v>193</v>
      </c>
      <c r="B946" s="15" t="n">
        <v>7</v>
      </c>
      <c r="C946" s="7" t="n">
        <v>34</v>
      </c>
      <c r="D946" s="22" t="s">
        <v>219</v>
      </c>
      <c r="E946" s="4" t="s">
        <v>1808</v>
      </c>
      <c r="F946" s="23"/>
      <c r="G946" s="22" t="s">
        <v>40</v>
      </c>
      <c r="H946" s="3"/>
      <c r="I946" s="4" t="s">
        <v>240</v>
      </c>
      <c r="J946" s="7" t="n">
        <f aca="false">LEN(E946)-SUMPRODUCT(LEN(E946)-LEN(SUBSTITUTE(E946,{"，","。","？","！","、","…","；","：","《","》"," ","“","”","—","（","）","·"},"")))</f>
        <v>25</v>
      </c>
      <c r="K946" s="23"/>
    </row>
    <row r="947" customFormat="false" ht="36" hidden="false" customHeight="true" outlineLevel="0" collapsed="false">
      <c r="A947" s="7" t="s">
        <v>193</v>
      </c>
      <c r="B947" s="15" t="n">
        <v>7</v>
      </c>
      <c r="C947" s="7" t="n">
        <v>35</v>
      </c>
      <c r="D947" s="22" t="s">
        <v>232</v>
      </c>
      <c r="E947" s="4" t="s">
        <v>1809</v>
      </c>
      <c r="F947" s="23"/>
      <c r="G947" s="22" t="s">
        <v>40</v>
      </c>
      <c r="H947" s="3"/>
      <c r="I947" s="4" t="s">
        <v>1642</v>
      </c>
      <c r="J947" s="7" t="n">
        <f aca="false">LEN(E947)-SUMPRODUCT(LEN(E947)-LEN(SUBSTITUTE(E947,{"，","。","？","！","、","…","；","：","《","》"," ","“","”","—","（","）","·"},"")))</f>
        <v>10</v>
      </c>
      <c r="K947" s="23"/>
    </row>
    <row r="948" customFormat="false" ht="36" hidden="false" customHeight="true" outlineLevel="0" collapsed="false">
      <c r="A948" s="7" t="s">
        <v>193</v>
      </c>
      <c r="B948" s="15" t="n">
        <v>7</v>
      </c>
      <c r="C948" s="7" t="n">
        <v>36</v>
      </c>
      <c r="D948" s="22" t="s">
        <v>219</v>
      </c>
      <c r="E948" s="4" t="s">
        <v>1810</v>
      </c>
      <c r="F948" s="23"/>
      <c r="G948" s="22" t="s">
        <v>40</v>
      </c>
      <c r="H948" s="3"/>
      <c r="I948" s="3"/>
      <c r="J948" s="7" t="n">
        <f aca="false">LEN(E948)-SUMPRODUCT(LEN(E948)-LEN(SUBSTITUTE(E948,{"，","。","？","！","、","…","；","：","《","》"," ","“","”","—","（","）","·"},"")))</f>
        <v>20</v>
      </c>
      <c r="K948" s="23"/>
    </row>
    <row r="949" customFormat="false" ht="36" hidden="false" customHeight="true" outlineLevel="0" collapsed="false">
      <c r="A949" s="7" t="s">
        <v>193</v>
      </c>
      <c r="B949" s="15" t="n">
        <v>7</v>
      </c>
      <c r="C949" s="7" t="n">
        <v>37</v>
      </c>
      <c r="D949" s="22" t="s">
        <v>219</v>
      </c>
      <c r="E949" s="4" t="s">
        <v>1811</v>
      </c>
      <c r="F949" s="23"/>
      <c r="G949" s="22" t="s">
        <v>40</v>
      </c>
      <c r="H949" s="3"/>
      <c r="I949" s="3"/>
      <c r="J949" s="7" t="n">
        <f aca="false">LEN(E949)-SUMPRODUCT(LEN(E949)-LEN(SUBSTITUTE(E949,{"，","。","？","！","、","…","；","：","《","》"," ","“","”","—","（","）","·"},"")))</f>
        <v>27</v>
      </c>
      <c r="K949" s="23"/>
    </row>
    <row r="950" customFormat="false" ht="21" hidden="false" customHeight="true" outlineLevel="0" collapsed="false">
      <c r="A950" s="7" t="s">
        <v>193</v>
      </c>
      <c r="B950" s="15" t="n">
        <v>7</v>
      </c>
      <c r="C950" s="7" t="n">
        <v>38</v>
      </c>
      <c r="D950" s="22" t="s">
        <v>222</v>
      </c>
      <c r="E950" s="4" t="s">
        <v>1812</v>
      </c>
      <c r="F950" s="23"/>
      <c r="G950" s="22" t="s">
        <v>42</v>
      </c>
      <c r="H950" s="3"/>
      <c r="I950" s="3"/>
      <c r="J950" s="7" t="n">
        <f aca="false">LEN(E950)-SUMPRODUCT(LEN(E950)-LEN(SUBSTITUTE(E950,{"，","。","？","！","、","…","；","：","《","》"," ","“","”","—","（","）","·"},"")))</f>
        <v>8</v>
      </c>
      <c r="K950" s="23"/>
    </row>
    <row r="951" customFormat="false" ht="36" hidden="false" customHeight="true" outlineLevel="0" collapsed="false">
      <c r="A951" s="7" t="s">
        <v>197</v>
      </c>
      <c r="B951" s="15" t="n">
        <v>8</v>
      </c>
      <c r="C951" s="7" t="n">
        <v>1</v>
      </c>
      <c r="D951" s="22" t="s">
        <v>219</v>
      </c>
      <c r="E951" s="4" t="s">
        <v>1813</v>
      </c>
      <c r="F951" s="23" t="s">
        <v>1814</v>
      </c>
      <c r="G951" s="22" t="s">
        <v>42</v>
      </c>
      <c r="H951" s="3"/>
      <c r="I951" s="4" t="s">
        <v>1815</v>
      </c>
      <c r="J951" s="7" t="n">
        <f aca="false">LEN(E951)-SUMPRODUCT(LEN(E951)-LEN(SUBSTITUTE(E951,{"，","。","？","！","、","…","；","：","《","》"," ","“","”","—","（","）","·"},"")))</f>
        <v>31</v>
      </c>
      <c r="K951" s="23"/>
    </row>
    <row r="952" customFormat="false" ht="36" hidden="false" customHeight="true" outlineLevel="0" collapsed="false">
      <c r="A952" s="7" t="s">
        <v>197</v>
      </c>
      <c r="B952" s="15" t="n">
        <v>8</v>
      </c>
      <c r="C952" s="7" t="n">
        <v>2</v>
      </c>
      <c r="D952" s="22" t="s">
        <v>222</v>
      </c>
      <c r="E952" s="4" t="s">
        <v>1816</v>
      </c>
      <c r="F952" s="23" t="s">
        <v>1817</v>
      </c>
      <c r="G952" s="22" t="s">
        <v>42</v>
      </c>
      <c r="H952" s="3"/>
      <c r="I952" s="4" t="s">
        <v>1818</v>
      </c>
      <c r="J952" s="7" t="n">
        <f aca="false">LEN(E952)-SUMPRODUCT(LEN(E952)-LEN(SUBSTITUTE(E952,{"，","。","？","！","、","…","；","：","《","》"," ","“","”","—","（","）","·"},"")))</f>
        <v>3</v>
      </c>
      <c r="K952" s="23"/>
    </row>
    <row r="953" customFormat="false" ht="36" hidden="false" customHeight="true" outlineLevel="0" collapsed="false">
      <c r="A953" s="7" t="s">
        <v>197</v>
      </c>
      <c r="B953" s="15" t="n">
        <v>8</v>
      </c>
      <c r="C953" s="7" t="n">
        <v>3</v>
      </c>
      <c r="D953" s="22" t="s">
        <v>219</v>
      </c>
      <c r="E953" s="4" t="s">
        <v>1819</v>
      </c>
      <c r="F953" s="23"/>
      <c r="G953" s="22" t="s">
        <v>32</v>
      </c>
      <c r="H953" s="3"/>
      <c r="I953" s="4" t="s">
        <v>1820</v>
      </c>
      <c r="J953" s="7" t="n">
        <f aca="false">LEN(E953)-SUMPRODUCT(LEN(E953)-LEN(SUBSTITUTE(E953,{"，","。","？","！","、","…","；","：","《","》"," ","“","”","—","（","）","·"},"")))</f>
        <v>37</v>
      </c>
      <c r="K953" s="23"/>
    </row>
    <row r="954" customFormat="false" ht="21" hidden="false" customHeight="true" outlineLevel="0" collapsed="false">
      <c r="A954" s="7" t="s">
        <v>197</v>
      </c>
      <c r="B954" s="15" t="n">
        <v>8</v>
      </c>
      <c r="C954" s="7" t="n">
        <v>4</v>
      </c>
      <c r="D954" s="22" t="s">
        <v>232</v>
      </c>
      <c r="E954" s="4" t="s">
        <v>1821</v>
      </c>
      <c r="F954" s="23"/>
      <c r="G954" s="22" t="s">
        <v>32</v>
      </c>
      <c r="H954" s="3"/>
      <c r="I954" s="4" t="s">
        <v>1822</v>
      </c>
      <c r="J954" s="7" t="n">
        <f aca="false">LEN(E954)-SUMPRODUCT(LEN(E954)-LEN(SUBSTITUTE(E954,{"，","。","？","！","、","…","；","：","《","》"," ","“","”","—","（","）","·"},"")))</f>
        <v>12</v>
      </c>
      <c r="K954" s="23"/>
    </row>
    <row r="955" customFormat="false" ht="36" hidden="false" customHeight="true" outlineLevel="0" collapsed="false">
      <c r="A955" s="7" t="s">
        <v>197</v>
      </c>
      <c r="B955" s="15" t="n">
        <v>8</v>
      </c>
      <c r="C955" s="7" t="n">
        <v>5</v>
      </c>
      <c r="D955" s="22" t="s">
        <v>219</v>
      </c>
      <c r="E955" s="4" t="s">
        <v>1823</v>
      </c>
      <c r="F955" s="23"/>
      <c r="G955" s="22" t="s">
        <v>32</v>
      </c>
      <c r="H955" s="3"/>
      <c r="I955" s="4" t="s">
        <v>1824</v>
      </c>
      <c r="J955" s="7" t="n">
        <f aca="false">LEN(E955)-SUMPRODUCT(LEN(E955)-LEN(SUBSTITUTE(E955,{"，","。","？","！","、","…","；","：","《","》"," ","“","”","—","（","）","·"},"")))</f>
        <v>38</v>
      </c>
      <c r="K955" s="23"/>
    </row>
    <row r="956" customFormat="false" ht="21" hidden="false" customHeight="true" outlineLevel="0" collapsed="false">
      <c r="A956" s="7" t="s">
        <v>197</v>
      </c>
      <c r="B956" s="15" t="n">
        <v>8</v>
      </c>
      <c r="C956" s="7" t="n">
        <v>6</v>
      </c>
      <c r="D956" s="22" t="s">
        <v>232</v>
      </c>
      <c r="E956" s="4" t="s">
        <v>1825</v>
      </c>
      <c r="F956" s="23"/>
      <c r="G956" s="22" t="s">
        <v>32</v>
      </c>
      <c r="H956" s="3"/>
      <c r="I956" s="3"/>
      <c r="J956" s="7" t="n">
        <f aca="false">LEN(E956)-SUMPRODUCT(LEN(E956)-LEN(SUBSTITUTE(E956,{"，","。","？","！","、","…","；","：","《","》"," ","“","”","—","（","）","·"},"")))</f>
        <v>12</v>
      </c>
      <c r="K956" s="23"/>
    </row>
    <row r="957" customFormat="false" ht="66" hidden="false" customHeight="true" outlineLevel="0" collapsed="false">
      <c r="A957" s="7" t="s">
        <v>197</v>
      </c>
      <c r="B957" s="15" t="n">
        <v>8</v>
      </c>
      <c r="C957" s="7" t="n">
        <v>7</v>
      </c>
      <c r="D957" s="22" t="s">
        <v>219</v>
      </c>
      <c r="E957" s="4" t="s">
        <v>1826</v>
      </c>
      <c r="F957" s="23" t="s">
        <v>1827</v>
      </c>
      <c r="G957" s="22" t="s">
        <v>40</v>
      </c>
      <c r="H957" s="3" t="s">
        <v>816</v>
      </c>
      <c r="I957" s="3"/>
      <c r="J957" s="7" t="n">
        <f aca="false">LEN(E957)-SUMPRODUCT(LEN(E957)-LEN(SUBSTITUTE(E957,{"，","。","？","！","、","…","；","：","《","》"," ","“","”","—","（","）","·"},"")))</f>
        <v>74</v>
      </c>
      <c r="K957" s="23"/>
    </row>
    <row r="958" customFormat="false" ht="36" hidden="false" customHeight="true" outlineLevel="0" collapsed="false">
      <c r="A958" s="7" t="s">
        <v>197</v>
      </c>
      <c r="B958" s="15" t="n">
        <v>8</v>
      </c>
      <c r="C958" s="7" t="n">
        <v>8</v>
      </c>
      <c r="D958" s="22" t="s">
        <v>222</v>
      </c>
      <c r="E958" s="4" t="s">
        <v>1828</v>
      </c>
      <c r="F958" s="23"/>
      <c r="G958" s="22" t="s">
        <v>40</v>
      </c>
      <c r="H958" s="3"/>
      <c r="I958" s="3"/>
      <c r="J958" s="7" t="n">
        <f aca="false">LEN(E958)-SUMPRODUCT(LEN(E958)-LEN(SUBSTITUTE(E958,{"，","。","？","！","、","…","；","：","《","》"," ","“","”","—","（","）","·"},"")))</f>
        <v>12</v>
      </c>
      <c r="K958" s="23"/>
    </row>
    <row r="959" customFormat="false" ht="51" hidden="false" customHeight="true" outlineLevel="0" collapsed="false">
      <c r="A959" s="7" t="s">
        <v>197</v>
      </c>
      <c r="B959" s="15" t="n">
        <v>8</v>
      </c>
      <c r="C959" s="7" t="n">
        <v>9</v>
      </c>
      <c r="D959" s="22" t="s">
        <v>219</v>
      </c>
      <c r="E959" s="4" t="s">
        <v>1829</v>
      </c>
      <c r="F959" s="23"/>
      <c r="G959" s="22" t="s">
        <v>40</v>
      </c>
      <c r="H959" s="3" t="s">
        <v>1830</v>
      </c>
      <c r="I959" s="3"/>
      <c r="J959" s="7" t="n">
        <f aca="false">LEN(E959)-SUMPRODUCT(LEN(E959)-LEN(SUBSTITUTE(E959,{"，","。","？","！","、","…","；","：","《","》"," ","“","”","—","（","）","·"},"")))</f>
        <v>48</v>
      </c>
      <c r="K959" s="23"/>
    </row>
    <row r="960" customFormat="false" ht="36" hidden="false" customHeight="true" outlineLevel="0" collapsed="false">
      <c r="A960" s="7" t="s">
        <v>197</v>
      </c>
      <c r="B960" s="15" t="n">
        <v>8</v>
      </c>
      <c r="C960" s="7" t="n">
        <v>10</v>
      </c>
      <c r="D960" s="22" t="s">
        <v>222</v>
      </c>
      <c r="E960" s="4" t="s">
        <v>1831</v>
      </c>
      <c r="F960" s="23"/>
      <c r="G960" s="22" t="s">
        <v>40</v>
      </c>
      <c r="H960" s="3"/>
      <c r="I960" s="3"/>
      <c r="J960" s="7" t="n">
        <f aca="false">LEN(E960)-SUMPRODUCT(LEN(E960)-LEN(SUBSTITUTE(E960,{"，","。","？","！","、","…","；","：","《","》"," ","“","”","—","（","）","·"},"")))</f>
        <v>15</v>
      </c>
      <c r="K960" s="23"/>
    </row>
    <row r="961" customFormat="false" ht="66" hidden="false" customHeight="true" outlineLevel="0" collapsed="false">
      <c r="A961" s="7" t="s">
        <v>197</v>
      </c>
      <c r="B961" s="15" t="n">
        <v>8</v>
      </c>
      <c r="C961" s="7" t="n">
        <v>11</v>
      </c>
      <c r="D961" s="22" t="s">
        <v>219</v>
      </c>
      <c r="E961" s="4" t="s">
        <v>1832</v>
      </c>
      <c r="F961" s="23" t="s">
        <v>1833</v>
      </c>
      <c r="G961" s="22" t="s">
        <v>40</v>
      </c>
      <c r="H961" s="3"/>
      <c r="I961" s="4" t="s">
        <v>1834</v>
      </c>
      <c r="J961" s="7" t="n">
        <f aca="false">LEN(E961)-SUMPRODUCT(LEN(E961)-LEN(SUBSTITUTE(E961,{"，","。","？","！","、","…","；","：","《","》"," ","“","”","—","（","）","·"},"")))</f>
        <v>77</v>
      </c>
      <c r="K961" s="23"/>
    </row>
    <row r="962" customFormat="false" ht="51" hidden="false" customHeight="true" outlineLevel="0" collapsed="false">
      <c r="A962" s="7" t="s">
        <v>197</v>
      </c>
      <c r="B962" s="15" t="n">
        <v>8</v>
      </c>
      <c r="C962" s="7" t="n">
        <v>12</v>
      </c>
      <c r="D962" s="22" t="s">
        <v>219</v>
      </c>
      <c r="E962" s="4" t="s">
        <v>1835</v>
      </c>
      <c r="F962" s="23"/>
      <c r="G962" s="22" t="s">
        <v>40</v>
      </c>
      <c r="H962" s="3"/>
      <c r="I962" s="3"/>
      <c r="J962" s="7" t="n">
        <f aca="false">LEN(E962)-SUMPRODUCT(LEN(E962)-LEN(SUBSTITUTE(E962,{"，","。","？","！","、","…","；","：","《","》"," ","“","”","—","（","）","·"},"")))</f>
        <v>52</v>
      </c>
      <c r="K962" s="23"/>
    </row>
    <row r="963" customFormat="false" ht="36" hidden="false" customHeight="true" outlineLevel="0" collapsed="false">
      <c r="A963" s="7" t="s">
        <v>197</v>
      </c>
      <c r="B963" s="15" t="n">
        <v>8</v>
      </c>
      <c r="C963" s="7" t="n">
        <v>13</v>
      </c>
      <c r="D963" s="22" t="s">
        <v>219</v>
      </c>
      <c r="E963" s="4" t="s">
        <v>1836</v>
      </c>
      <c r="F963" s="23" t="s">
        <v>1837</v>
      </c>
      <c r="G963" s="22" t="s">
        <v>40</v>
      </c>
      <c r="H963" s="3"/>
      <c r="I963" s="3"/>
      <c r="J963" s="7" t="n">
        <f aca="false">LEN(E963)-SUMPRODUCT(LEN(E963)-LEN(SUBSTITUTE(E963,{"，","。","？","！","、","…","；","：","《","》"," ","“","”","—","（","）","·"},"")))</f>
        <v>36</v>
      </c>
      <c r="K963" s="23"/>
    </row>
    <row r="964" customFormat="false" ht="36" hidden="false" customHeight="true" outlineLevel="0" collapsed="false">
      <c r="A964" s="7" t="s">
        <v>197</v>
      </c>
      <c r="B964" s="15" t="n">
        <v>8</v>
      </c>
      <c r="C964" s="7" t="n">
        <v>14</v>
      </c>
      <c r="D964" s="22" t="s">
        <v>481</v>
      </c>
      <c r="E964" s="4" t="s">
        <v>1838</v>
      </c>
      <c r="F964" s="23" t="s">
        <v>1839</v>
      </c>
      <c r="G964" s="22" t="s">
        <v>42</v>
      </c>
      <c r="H964" s="3"/>
      <c r="I964" s="3"/>
      <c r="J964" s="7" t="n">
        <f aca="false">LEN(E964)-SUMPRODUCT(LEN(E964)-LEN(SUBSTITUTE(E964,{"，","。","？","！","、","…","；","：","《","》"," ","“","”","—","（","）","·"},"")))</f>
        <v>12</v>
      </c>
      <c r="K964" s="23"/>
    </row>
    <row r="965" customFormat="false" ht="36" hidden="false" customHeight="true" outlineLevel="0" collapsed="false">
      <c r="A965" s="7" t="s">
        <v>197</v>
      </c>
      <c r="B965" s="15" t="n">
        <v>8</v>
      </c>
      <c r="C965" s="7" t="n">
        <v>15</v>
      </c>
      <c r="D965" s="22" t="s">
        <v>716</v>
      </c>
      <c r="E965" s="4" t="s">
        <v>1840</v>
      </c>
      <c r="F965" s="23"/>
      <c r="G965" s="22" t="s">
        <v>40</v>
      </c>
      <c r="H965" s="3"/>
      <c r="I965" s="4" t="s">
        <v>1818</v>
      </c>
      <c r="J965" s="7" t="n">
        <f aca="false">LEN(E965)-SUMPRODUCT(LEN(E965)-LEN(SUBSTITUTE(E965,{"，","。","？","！","、","…","；","：","《","》"," ","“","”","—","（","）","·"},"")))</f>
        <v>21</v>
      </c>
      <c r="K965" s="23"/>
    </row>
    <row r="966" customFormat="false" ht="36" hidden="false" customHeight="true" outlineLevel="0" collapsed="false">
      <c r="A966" s="7" t="s">
        <v>197</v>
      </c>
      <c r="B966" s="15" t="n">
        <v>8</v>
      </c>
      <c r="C966" s="7" t="n">
        <v>16</v>
      </c>
      <c r="D966" s="22" t="s">
        <v>219</v>
      </c>
      <c r="E966" s="4" t="s">
        <v>1841</v>
      </c>
      <c r="F966" s="23"/>
      <c r="G966" s="22" t="s">
        <v>40</v>
      </c>
      <c r="H966" s="3" t="s">
        <v>1842</v>
      </c>
      <c r="I966" s="3"/>
      <c r="J966" s="7" t="n">
        <f aca="false">LEN(E966)-SUMPRODUCT(LEN(E966)-LEN(SUBSTITUTE(E966,{"，","。","？","！","、","…","；","：","《","》"," ","“","”","—","（","）","·"},"")))</f>
        <v>32</v>
      </c>
      <c r="K966" s="23"/>
    </row>
    <row r="967" customFormat="false" ht="51" hidden="false" customHeight="true" outlineLevel="0" collapsed="false">
      <c r="A967" s="7" t="s">
        <v>197</v>
      </c>
      <c r="B967" s="15" t="n">
        <v>8</v>
      </c>
      <c r="C967" s="7" t="n">
        <v>17</v>
      </c>
      <c r="D967" s="22" t="s">
        <v>219</v>
      </c>
      <c r="E967" s="4" t="s">
        <v>1843</v>
      </c>
      <c r="F967" s="23"/>
      <c r="G967" s="22" t="s">
        <v>40</v>
      </c>
      <c r="H967" s="3"/>
      <c r="I967" s="3"/>
      <c r="J967" s="7" t="n">
        <f aca="false">LEN(E967)-SUMPRODUCT(LEN(E967)-LEN(SUBSTITUTE(E967,{"，","。","？","！","、","…","；","：","《","》"," ","“","”","—","（","）","·"},"")))</f>
        <v>55</v>
      </c>
      <c r="K967" s="23"/>
    </row>
    <row r="968" customFormat="false" ht="21" hidden="false" customHeight="true" outlineLevel="0" collapsed="false">
      <c r="A968" s="7" t="s">
        <v>197</v>
      </c>
      <c r="B968" s="15" t="n">
        <v>8</v>
      </c>
      <c r="C968" s="7" t="n">
        <v>18</v>
      </c>
      <c r="D968" s="22" t="s">
        <v>716</v>
      </c>
      <c r="E968" s="4" t="s">
        <v>1844</v>
      </c>
      <c r="F968" s="23"/>
      <c r="G968" s="22" t="s">
        <v>42</v>
      </c>
      <c r="H968" s="3"/>
      <c r="I968" s="4" t="s">
        <v>1818</v>
      </c>
      <c r="J968" s="7" t="n">
        <f aca="false">LEN(E968)-SUMPRODUCT(LEN(E968)-LEN(SUBSTITUTE(E968,{"，","。","？","！","、","…","；","：","《","》"," ","“","”","—","（","）","·"},"")))</f>
        <v>12</v>
      </c>
      <c r="K968" s="23"/>
    </row>
    <row r="969" customFormat="false" ht="36" hidden="false" customHeight="true" outlineLevel="0" collapsed="false">
      <c r="A969" s="7" t="s">
        <v>197</v>
      </c>
      <c r="B969" s="15" t="n">
        <v>8</v>
      </c>
      <c r="C969" s="7" t="n">
        <v>19</v>
      </c>
      <c r="D969" s="22" t="s">
        <v>219</v>
      </c>
      <c r="E969" s="4" t="s">
        <v>1845</v>
      </c>
      <c r="F969" s="23" t="s">
        <v>1846</v>
      </c>
      <c r="G969" s="22" t="s">
        <v>42</v>
      </c>
      <c r="H969" s="3"/>
      <c r="I969" s="3"/>
      <c r="J969" s="7" t="n">
        <f aca="false">LEN(E969)-SUMPRODUCT(LEN(E969)-LEN(SUBSTITUTE(E969,{"，","。","？","！","、","…","；","：","《","》"," ","“","”","—","（","）","·"},"")))</f>
        <v>28</v>
      </c>
      <c r="K969" s="23"/>
    </row>
    <row r="970" customFormat="false" ht="21" hidden="false" customHeight="true" outlineLevel="0" collapsed="false">
      <c r="A970" s="7" t="s">
        <v>197</v>
      </c>
      <c r="B970" s="15" t="n">
        <v>8</v>
      </c>
      <c r="C970" s="7" t="n">
        <v>20</v>
      </c>
      <c r="D970" s="22" t="s">
        <v>481</v>
      </c>
      <c r="E970" s="4" t="s">
        <v>1847</v>
      </c>
      <c r="F970" s="23"/>
      <c r="G970" s="22" t="s">
        <v>42</v>
      </c>
      <c r="H970" s="3"/>
      <c r="I970" s="4" t="s">
        <v>1818</v>
      </c>
      <c r="J970" s="7" t="n">
        <f aca="false">LEN(E970)-SUMPRODUCT(LEN(E970)-LEN(SUBSTITUTE(E970,{"，","。","？","！","、","…","；","：","《","》"," ","“","”","—","（","）","·"},"")))</f>
        <v>8</v>
      </c>
      <c r="K970" s="23"/>
    </row>
    <row r="971" customFormat="false" ht="51" hidden="false" customHeight="true" outlineLevel="0" collapsed="false">
      <c r="A971" s="7" t="s">
        <v>197</v>
      </c>
      <c r="B971" s="15" t="n">
        <v>8</v>
      </c>
      <c r="C971" s="7" t="n">
        <v>21</v>
      </c>
      <c r="D971" s="22" t="s">
        <v>219</v>
      </c>
      <c r="E971" s="4" t="s">
        <v>1848</v>
      </c>
      <c r="F971" s="23"/>
      <c r="G971" s="22" t="s">
        <v>34</v>
      </c>
      <c r="H971" s="3" t="s">
        <v>1849</v>
      </c>
      <c r="I971" s="3"/>
      <c r="J971" s="7" t="n">
        <f aca="false">LEN(E971)-SUMPRODUCT(LEN(E971)-LEN(SUBSTITUTE(E971,{"，","。","？","！","、","…","；","：","《","》"," ","“","”","—","（","）","·"},"")))</f>
        <v>64</v>
      </c>
      <c r="K971" s="23"/>
    </row>
    <row r="972" customFormat="false" ht="36" hidden="false" customHeight="true" outlineLevel="0" collapsed="false">
      <c r="A972" s="7" t="s">
        <v>197</v>
      </c>
      <c r="B972" s="15" t="n">
        <v>8</v>
      </c>
      <c r="C972" s="7" t="n">
        <v>22</v>
      </c>
      <c r="D972" s="22" t="s">
        <v>232</v>
      </c>
      <c r="E972" s="4" t="s">
        <v>1850</v>
      </c>
      <c r="F972" s="23"/>
      <c r="G972" s="22" t="s">
        <v>34</v>
      </c>
      <c r="H972" s="3"/>
      <c r="I972" s="3"/>
      <c r="J972" s="7" t="n">
        <f aca="false">LEN(E972)-SUMPRODUCT(LEN(E972)-LEN(SUBSTITUTE(E972,{"，","。","？","！","、","…","；","：","《","》"," ","“","”","—","（","）","·"},"")))</f>
        <v>10</v>
      </c>
      <c r="K972" s="23"/>
    </row>
    <row r="973" customFormat="false" ht="36" hidden="false" customHeight="true" outlineLevel="0" collapsed="false">
      <c r="A973" s="7" t="s">
        <v>197</v>
      </c>
      <c r="B973" s="15" t="n">
        <v>8</v>
      </c>
      <c r="C973" s="7" t="n">
        <v>23</v>
      </c>
      <c r="D973" s="22" t="s">
        <v>481</v>
      </c>
      <c r="E973" s="4" t="s">
        <v>1851</v>
      </c>
      <c r="F973" s="23" t="s">
        <v>234</v>
      </c>
      <c r="G973" s="22" t="s">
        <v>34</v>
      </c>
      <c r="H973" s="3"/>
      <c r="I973" s="3"/>
      <c r="J973" s="7" t="n">
        <f aca="false">LEN(E973)-SUMPRODUCT(LEN(E973)-LEN(SUBSTITUTE(E973,{"，","。","？","！","、","…","；","：","《","》"," ","“","”","—","（","）","·"},"")))</f>
        <v>10</v>
      </c>
      <c r="K973" s="23"/>
    </row>
    <row r="974" customFormat="false" ht="36" hidden="false" customHeight="true" outlineLevel="0" collapsed="false">
      <c r="A974" s="7" t="s">
        <v>197</v>
      </c>
      <c r="B974" s="15" t="n">
        <v>8</v>
      </c>
      <c r="C974" s="7" t="n">
        <v>24</v>
      </c>
      <c r="D974" s="22" t="s">
        <v>716</v>
      </c>
      <c r="E974" s="4" t="s">
        <v>1852</v>
      </c>
      <c r="F974" s="23"/>
      <c r="G974" s="22" t="s">
        <v>34</v>
      </c>
      <c r="H974" s="3"/>
      <c r="I974" s="3"/>
      <c r="J974" s="7" t="n">
        <f aca="false">LEN(E974)-SUMPRODUCT(LEN(E974)-LEN(SUBSTITUTE(E974,{"，","。","？","！","、","…","；","：","《","》"," ","“","”","—","（","）","·"},"")))</f>
        <v>4</v>
      </c>
      <c r="K974" s="23"/>
    </row>
    <row r="975" customFormat="false" ht="36" hidden="false" customHeight="true" outlineLevel="0" collapsed="false">
      <c r="A975" s="7" t="s">
        <v>197</v>
      </c>
      <c r="B975" s="15" t="n">
        <v>8</v>
      </c>
      <c r="C975" s="7" t="n">
        <v>25</v>
      </c>
      <c r="D975" s="22" t="s">
        <v>219</v>
      </c>
      <c r="E975" s="4" t="s">
        <v>1853</v>
      </c>
      <c r="F975" s="23"/>
      <c r="G975" s="22" t="s">
        <v>40</v>
      </c>
      <c r="H975" s="3" t="s">
        <v>1854</v>
      </c>
      <c r="I975" s="3"/>
      <c r="J975" s="7" t="n">
        <f aca="false">LEN(E975)-SUMPRODUCT(LEN(E975)-LEN(SUBSTITUTE(E975,{"，","。","？","！","、","…","；","：","《","》"," ","“","”","—","（","）","·"},"")))</f>
        <v>31</v>
      </c>
      <c r="K975" s="23"/>
    </row>
    <row r="976" customFormat="false" ht="51" hidden="false" customHeight="true" outlineLevel="0" collapsed="false">
      <c r="A976" s="7" t="s">
        <v>197</v>
      </c>
      <c r="B976" s="15" t="n">
        <v>8</v>
      </c>
      <c r="C976" s="7" t="n">
        <v>26</v>
      </c>
      <c r="D976" s="22" t="s">
        <v>219</v>
      </c>
      <c r="E976" s="4" t="s">
        <v>1855</v>
      </c>
      <c r="F976" s="23"/>
      <c r="G976" s="22" t="s">
        <v>30</v>
      </c>
      <c r="H976" s="3" t="s">
        <v>263</v>
      </c>
      <c r="I976" s="4" t="s">
        <v>1856</v>
      </c>
      <c r="J976" s="7" t="n">
        <f aca="false">LEN(E976)-SUMPRODUCT(LEN(E976)-LEN(SUBSTITUTE(E976,{"，","。","？","！","、","…","；","：","《","》"," ","“","”","—","（","）","·"},"")))</f>
        <v>67</v>
      </c>
      <c r="K976" s="23"/>
    </row>
    <row r="977" customFormat="false" ht="36" hidden="false" customHeight="true" outlineLevel="0" collapsed="false">
      <c r="A977" s="7" t="s">
        <v>197</v>
      </c>
      <c r="B977" s="15" t="n">
        <v>8</v>
      </c>
      <c r="C977" s="7" t="n">
        <v>27</v>
      </c>
      <c r="D977" s="22" t="s">
        <v>716</v>
      </c>
      <c r="E977" s="4" t="s">
        <v>1857</v>
      </c>
      <c r="F977" s="23"/>
      <c r="G977" s="22" t="s">
        <v>40</v>
      </c>
      <c r="H977" s="3"/>
      <c r="I977" s="3"/>
      <c r="J977" s="7" t="n">
        <f aca="false">LEN(E977)-SUMPRODUCT(LEN(E977)-LEN(SUBSTITUTE(E977,{"，","。","？","！","、","…","；","：","《","》"," ","“","”","—","（","）","·"},"")))</f>
        <v>15</v>
      </c>
      <c r="K977" s="23"/>
    </row>
    <row r="978" customFormat="false" ht="36" hidden="false" customHeight="true" outlineLevel="0" collapsed="false">
      <c r="A978" s="7" t="s">
        <v>197</v>
      </c>
      <c r="B978" s="15" t="n">
        <v>8</v>
      </c>
      <c r="C978" s="7" t="n">
        <v>28</v>
      </c>
      <c r="D978" s="22" t="s">
        <v>219</v>
      </c>
      <c r="E978" s="4" t="s">
        <v>1858</v>
      </c>
      <c r="F978" s="23"/>
      <c r="G978" s="22" t="s">
        <v>40</v>
      </c>
      <c r="H978" s="3" t="s">
        <v>1859</v>
      </c>
      <c r="I978" s="3"/>
      <c r="J978" s="7" t="n">
        <f aca="false">LEN(E978)-SUMPRODUCT(LEN(E978)-LEN(SUBSTITUTE(E978,{"，","。","？","！","、","…","；","：","《","》"," ","“","”","—","（","）","·"},"")))</f>
        <v>31</v>
      </c>
      <c r="K978" s="23"/>
    </row>
    <row r="979" customFormat="false" ht="21" hidden="false" customHeight="true" outlineLevel="0" collapsed="false">
      <c r="A979" s="7" t="s">
        <v>197</v>
      </c>
      <c r="B979" s="15" t="n">
        <v>8</v>
      </c>
      <c r="C979" s="7" t="n">
        <v>29</v>
      </c>
      <c r="D979" s="22" t="s">
        <v>222</v>
      </c>
      <c r="E979" s="4" t="s">
        <v>1860</v>
      </c>
      <c r="F979" s="23"/>
      <c r="G979" s="22" t="s">
        <v>32</v>
      </c>
      <c r="H979" s="3"/>
      <c r="I979" s="4" t="s">
        <v>1818</v>
      </c>
      <c r="J979" s="7" t="n">
        <f aca="false">LEN(E979)-SUMPRODUCT(LEN(E979)-LEN(SUBSTITUTE(E979,{"，","。","？","！","、","…","；","：","《","》"," ","“","”","—","（","）","·"},"")))</f>
        <v>12</v>
      </c>
      <c r="K979" s="23"/>
    </row>
    <row r="980" customFormat="false" ht="36" hidden="false" customHeight="true" outlineLevel="0" collapsed="false">
      <c r="A980" s="7" t="s">
        <v>197</v>
      </c>
      <c r="B980" s="15" t="n">
        <v>8</v>
      </c>
      <c r="C980" s="7" t="n">
        <v>30</v>
      </c>
      <c r="D980" s="22" t="s">
        <v>219</v>
      </c>
      <c r="E980" s="4" t="s">
        <v>1861</v>
      </c>
      <c r="F980" s="23"/>
      <c r="G980" s="22" t="s">
        <v>32</v>
      </c>
      <c r="H980" s="3"/>
      <c r="I980" s="4" t="s">
        <v>1862</v>
      </c>
      <c r="J980" s="7" t="n">
        <f aca="false">LEN(E980)-SUMPRODUCT(LEN(E980)-LEN(SUBSTITUTE(E980,{"，","。","？","！","、","…","；","：","《","》"," ","“","”","—","（","）","·"},"")))</f>
        <v>37</v>
      </c>
      <c r="K980" s="23"/>
    </row>
    <row r="981" customFormat="false" ht="21" hidden="false" customHeight="true" outlineLevel="0" collapsed="false">
      <c r="A981" s="7" t="s">
        <v>197</v>
      </c>
      <c r="B981" s="15" t="n">
        <v>8</v>
      </c>
      <c r="C981" s="7" t="n">
        <v>31</v>
      </c>
      <c r="D981" s="22" t="s">
        <v>481</v>
      </c>
      <c r="E981" s="4" t="s">
        <v>1863</v>
      </c>
      <c r="F981" s="23"/>
      <c r="G981" s="22" t="s">
        <v>42</v>
      </c>
      <c r="H981" s="3"/>
      <c r="I981" s="4" t="s">
        <v>1818</v>
      </c>
      <c r="J981" s="7" t="n">
        <f aca="false">LEN(E981)-SUMPRODUCT(LEN(E981)-LEN(SUBSTITUTE(E981,{"，","。","？","！","、","…","；","：","《","》"," ","“","”","—","（","）","·"},"")))</f>
        <v>11</v>
      </c>
      <c r="K981" s="23"/>
    </row>
    <row r="982" customFormat="false" ht="21" hidden="false" customHeight="true" outlineLevel="0" collapsed="false">
      <c r="A982" s="7" t="s">
        <v>197</v>
      </c>
      <c r="B982" s="15" t="n">
        <v>8</v>
      </c>
      <c r="C982" s="7" t="n">
        <v>32</v>
      </c>
      <c r="D982" s="22" t="s">
        <v>219</v>
      </c>
      <c r="E982" s="4" t="s">
        <v>1864</v>
      </c>
      <c r="F982" s="23"/>
      <c r="G982" s="22" t="s">
        <v>42</v>
      </c>
      <c r="H982" s="3"/>
      <c r="I982" s="3"/>
      <c r="J982" s="7" t="n">
        <f aca="false">LEN(E982)-SUMPRODUCT(LEN(E982)-LEN(SUBSTITUTE(E982,{"，","。","？","！","、","…","；","：","《","》"," ","“","”","—","（","）","·"},"")))</f>
        <v>5</v>
      </c>
      <c r="K982" s="23"/>
    </row>
    <row r="983" customFormat="false" ht="21" hidden="false" customHeight="true" outlineLevel="0" collapsed="false">
      <c r="A983" s="7" t="s">
        <v>197</v>
      </c>
      <c r="B983" s="15" t="n">
        <v>8</v>
      </c>
      <c r="C983" s="7" t="n">
        <v>33</v>
      </c>
      <c r="D983" s="22" t="s">
        <v>232</v>
      </c>
      <c r="E983" s="4" t="s">
        <v>1865</v>
      </c>
      <c r="F983" s="23"/>
      <c r="G983" s="22" t="s">
        <v>42</v>
      </c>
      <c r="H983" s="3"/>
      <c r="I983" s="4" t="s">
        <v>1818</v>
      </c>
      <c r="J983" s="7" t="n">
        <f aca="false">LEN(E983)-SUMPRODUCT(LEN(E983)-LEN(SUBSTITUTE(E983,{"，","。","？","！","、","…","；","：","《","》"," ","“","”","—","（","）","·"},"")))</f>
        <v>9</v>
      </c>
      <c r="K983" s="23"/>
    </row>
    <row r="984" customFormat="false" ht="21" hidden="false" customHeight="true" outlineLevel="0" collapsed="false">
      <c r="A984" s="7" t="s">
        <v>197</v>
      </c>
      <c r="B984" s="15" t="n">
        <v>8</v>
      </c>
      <c r="C984" s="7" t="n">
        <v>34</v>
      </c>
      <c r="D984" s="22" t="s">
        <v>219</v>
      </c>
      <c r="E984" s="4" t="s">
        <v>1866</v>
      </c>
      <c r="F984" s="23"/>
      <c r="G984" s="22" t="s">
        <v>42</v>
      </c>
      <c r="H984" s="3"/>
      <c r="I984" s="3"/>
      <c r="J984" s="7" t="n">
        <f aca="false">LEN(E984)-SUMPRODUCT(LEN(E984)-LEN(SUBSTITUTE(E984,{"，","。","？","！","、","…","；","：","《","》"," ","“","”","—","（","）","·"},"")))</f>
        <v>18</v>
      </c>
      <c r="K984" s="23"/>
    </row>
    <row r="985" customFormat="false" ht="36" hidden="false" customHeight="true" outlineLevel="0" collapsed="false">
      <c r="A985" s="7" t="s">
        <v>197</v>
      </c>
      <c r="B985" s="15" t="n">
        <v>8</v>
      </c>
      <c r="C985" s="7" t="n">
        <v>35</v>
      </c>
      <c r="D985" s="22" t="s">
        <v>219</v>
      </c>
      <c r="E985" s="4" t="s">
        <v>1867</v>
      </c>
      <c r="F985" s="23" t="s">
        <v>1868</v>
      </c>
      <c r="G985" s="22" t="s">
        <v>40</v>
      </c>
      <c r="H985" s="3" t="s">
        <v>1854</v>
      </c>
      <c r="I985" s="3"/>
      <c r="J985" s="7" t="n">
        <f aca="false">LEN(E985)-SUMPRODUCT(LEN(E985)-LEN(SUBSTITUTE(E985,{"，","。","？","！","、","…","；","：","《","》"," ","“","”","—","（","）","·"},"")))</f>
        <v>29</v>
      </c>
      <c r="K985" s="23"/>
    </row>
    <row r="986" customFormat="false" ht="36" hidden="false" customHeight="true" outlineLevel="0" collapsed="false">
      <c r="A986" s="7" t="s">
        <v>197</v>
      </c>
      <c r="B986" s="15" t="n">
        <v>8</v>
      </c>
      <c r="C986" s="7" t="n">
        <v>36</v>
      </c>
      <c r="D986" s="22" t="s">
        <v>716</v>
      </c>
      <c r="E986" s="4" t="s">
        <v>1869</v>
      </c>
      <c r="F986" s="23"/>
      <c r="G986" s="22" t="s">
        <v>40</v>
      </c>
      <c r="H986" s="3" t="s">
        <v>1854</v>
      </c>
      <c r="I986" s="3"/>
      <c r="J986" s="7" t="n">
        <f aca="false">LEN(E986)-SUMPRODUCT(LEN(E986)-LEN(SUBSTITUTE(E986,{"，","。","？","！","、","…","；","：","《","》"," ","“","”","—","（","）","·"},"")))</f>
        <v>11</v>
      </c>
      <c r="K986" s="23"/>
    </row>
    <row r="987" customFormat="false" ht="21" hidden="false" customHeight="true" outlineLevel="0" collapsed="false">
      <c r="A987" s="7" t="s">
        <v>197</v>
      </c>
      <c r="B987" s="15" t="n">
        <v>8</v>
      </c>
      <c r="C987" s="7" t="n">
        <v>37</v>
      </c>
      <c r="D987" s="22" t="s">
        <v>222</v>
      </c>
      <c r="E987" s="4" t="s">
        <v>1870</v>
      </c>
      <c r="F987" s="23"/>
      <c r="G987" s="22" t="s">
        <v>42</v>
      </c>
      <c r="H987" s="3"/>
      <c r="I987" s="3"/>
      <c r="J987" s="7" t="n">
        <f aca="false">LEN(E987)-SUMPRODUCT(LEN(E987)-LEN(SUBSTITUTE(E987,{"，","。","？","！","、","…","；","：","《","》"," ","“","”","—","（","）","·"},"")))</f>
        <v>4</v>
      </c>
      <c r="K987" s="23"/>
    </row>
    <row r="988" customFormat="false" ht="21" hidden="false" customHeight="true" outlineLevel="0" collapsed="false">
      <c r="A988" s="7" t="s">
        <v>202</v>
      </c>
      <c r="B988" s="15" t="n">
        <v>8</v>
      </c>
      <c r="C988" s="7" t="n">
        <v>1</v>
      </c>
      <c r="D988" s="22" t="s">
        <v>229</v>
      </c>
      <c r="E988" s="4" t="s">
        <v>1871</v>
      </c>
      <c r="F988" s="23" t="s">
        <v>1872</v>
      </c>
      <c r="G988" s="22" t="s">
        <v>42</v>
      </c>
      <c r="H988" s="3"/>
      <c r="I988" s="4" t="s">
        <v>1873</v>
      </c>
      <c r="J988" s="7" t="n">
        <f aca="false">LEN(E988)-SUMPRODUCT(LEN(E988)-LEN(SUBSTITUTE(E988,{"，","。","？","！","、","…","；","：","《","》"," ","“","”","—","（","）","·"},"")))</f>
        <v>19</v>
      </c>
      <c r="K988" s="23"/>
    </row>
    <row r="989" customFormat="false" ht="21" hidden="false" customHeight="true" outlineLevel="0" collapsed="false">
      <c r="A989" s="7" t="s">
        <v>202</v>
      </c>
      <c r="B989" s="15" t="n">
        <v>8</v>
      </c>
      <c r="C989" s="7" t="n">
        <v>2</v>
      </c>
      <c r="D989" s="22" t="s">
        <v>219</v>
      </c>
      <c r="E989" s="4" t="s">
        <v>1874</v>
      </c>
      <c r="F989" s="23"/>
      <c r="G989" s="22" t="s">
        <v>42</v>
      </c>
      <c r="H989" s="3"/>
      <c r="I989" s="3"/>
      <c r="J989" s="7" t="n">
        <f aca="false">LEN(E989)-SUMPRODUCT(LEN(E989)-LEN(SUBSTITUTE(E989,{"，","。","？","！","、","…","；","：","《","》"," ","“","”","—","（","）","·"},"")))</f>
        <v>6</v>
      </c>
      <c r="K989" s="23"/>
    </row>
    <row r="990" customFormat="false" ht="36" hidden="false" customHeight="true" outlineLevel="0" collapsed="false">
      <c r="A990" s="7" t="s">
        <v>202</v>
      </c>
      <c r="B990" s="15" t="n">
        <v>8</v>
      </c>
      <c r="C990" s="7" t="n">
        <v>3</v>
      </c>
      <c r="D990" s="22" t="s">
        <v>229</v>
      </c>
      <c r="E990" s="4" t="s">
        <v>1875</v>
      </c>
      <c r="F990" s="23"/>
      <c r="G990" s="22" t="s">
        <v>34</v>
      </c>
      <c r="H990" s="3"/>
      <c r="I990" s="3"/>
      <c r="J990" s="7" t="n">
        <f aca="false">LEN(E990)-SUMPRODUCT(LEN(E990)-LEN(SUBSTITUTE(E990,{"，","。","？","！","、","…","；","：","《","》"," ","“","”","—","（","）","·"},"")))</f>
        <v>30</v>
      </c>
      <c r="K990" s="23"/>
    </row>
    <row r="991" customFormat="false" ht="51" hidden="false" customHeight="true" outlineLevel="0" collapsed="false">
      <c r="A991" s="7" t="s">
        <v>202</v>
      </c>
      <c r="B991" s="15" t="n">
        <v>8</v>
      </c>
      <c r="C991" s="7" t="n">
        <v>4</v>
      </c>
      <c r="D991" s="22" t="s">
        <v>219</v>
      </c>
      <c r="E991" s="4" t="s">
        <v>1876</v>
      </c>
      <c r="F991" s="23" t="s">
        <v>1877</v>
      </c>
      <c r="G991" s="22" t="s">
        <v>34</v>
      </c>
      <c r="H991" s="3" t="s">
        <v>1878</v>
      </c>
      <c r="I991" s="3"/>
      <c r="J991" s="7" t="n">
        <f aca="false">LEN(E991)-SUMPRODUCT(LEN(E991)-LEN(SUBSTITUTE(E991,{"，","。","？","！","、","…","；","：","《","》"," ","“","”","—","（","）","·"},"")))</f>
        <v>60</v>
      </c>
      <c r="K991" s="23"/>
    </row>
    <row r="992" customFormat="false" ht="36" hidden="false" customHeight="true" outlineLevel="0" collapsed="false">
      <c r="A992" s="7" t="s">
        <v>202</v>
      </c>
      <c r="B992" s="15" t="n">
        <v>8</v>
      </c>
      <c r="C992" s="7" t="n">
        <v>5</v>
      </c>
      <c r="D992" s="22" t="s">
        <v>222</v>
      </c>
      <c r="E992" s="4" t="s">
        <v>1879</v>
      </c>
      <c r="F992" s="23"/>
      <c r="G992" s="22" t="s">
        <v>34</v>
      </c>
      <c r="H992" s="3" t="s">
        <v>401</v>
      </c>
      <c r="I992" s="3"/>
      <c r="J992" s="7" t="n">
        <f aca="false">LEN(E992)-SUMPRODUCT(LEN(E992)-LEN(SUBSTITUTE(E992,{"，","。","？","！","、","…","；","：","《","》"," ","“","”","—","（","）","·"},"")))</f>
        <v>9</v>
      </c>
      <c r="K992" s="23"/>
    </row>
    <row r="993" customFormat="false" ht="36" hidden="false" customHeight="true" outlineLevel="0" collapsed="false">
      <c r="A993" s="7" t="s">
        <v>202</v>
      </c>
      <c r="B993" s="15" t="n">
        <v>8</v>
      </c>
      <c r="C993" s="7" t="n">
        <v>6</v>
      </c>
      <c r="D993" s="22" t="s">
        <v>232</v>
      </c>
      <c r="E993" s="4" t="s">
        <v>1880</v>
      </c>
      <c r="F993" s="23" t="s">
        <v>234</v>
      </c>
      <c r="G993" s="22" t="s">
        <v>34</v>
      </c>
      <c r="H993" s="3"/>
      <c r="I993" s="3"/>
      <c r="J993" s="7" t="n">
        <f aca="false">LEN(E993)-SUMPRODUCT(LEN(E993)-LEN(SUBSTITUTE(E993,{"，","。","？","！","、","…","；","：","《","》"," ","“","”","—","（","）","·"},"")))</f>
        <v>9</v>
      </c>
      <c r="K993" s="23"/>
    </row>
    <row r="994" customFormat="false" ht="36" hidden="false" customHeight="true" outlineLevel="0" collapsed="false">
      <c r="A994" s="7" t="s">
        <v>202</v>
      </c>
      <c r="B994" s="15" t="n">
        <v>8</v>
      </c>
      <c r="C994" s="7" t="n">
        <v>7</v>
      </c>
      <c r="D994" s="22" t="s">
        <v>219</v>
      </c>
      <c r="E994" s="4" t="s">
        <v>1881</v>
      </c>
      <c r="F994" s="23"/>
      <c r="G994" s="22" t="s">
        <v>40</v>
      </c>
      <c r="H994" s="3" t="s">
        <v>543</v>
      </c>
      <c r="I994" s="3"/>
      <c r="J994" s="7" t="n">
        <f aca="false">LEN(E994)-SUMPRODUCT(LEN(E994)-LEN(SUBSTITUTE(E994,{"，","。","？","！","、","…","；","：","《","》"," ","“","”","—","（","）","·"},"")))</f>
        <v>25</v>
      </c>
      <c r="K994" s="23"/>
    </row>
    <row r="995" customFormat="false" ht="36" hidden="false" customHeight="true" outlineLevel="0" collapsed="false">
      <c r="A995" s="7" t="s">
        <v>202</v>
      </c>
      <c r="B995" s="15" t="n">
        <v>8</v>
      </c>
      <c r="C995" s="7" t="n">
        <v>8</v>
      </c>
      <c r="D995" s="22" t="s">
        <v>229</v>
      </c>
      <c r="E995" s="4" t="s">
        <v>1882</v>
      </c>
      <c r="F995" s="23"/>
      <c r="G995" s="22" t="s">
        <v>40</v>
      </c>
      <c r="H995" s="3"/>
      <c r="I995" s="3"/>
      <c r="J995" s="7" t="n">
        <f aca="false">LEN(E995)-SUMPRODUCT(LEN(E995)-LEN(SUBSTITUTE(E995,{"，","。","？","！","、","…","；","：","《","》"," ","“","”","—","（","）","·"},"")))</f>
        <v>25</v>
      </c>
      <c r="K995" s="23"/>
    </row>
    <row r="996" customFormat="false" ht="21" hidden="false" customHeight="true" outlineLevel="0" collapsed="false">
      <c r="A996" s="7" t="s">
        <v>202</v>
      </c>
      <c r="B996" s="15" t="n">
        <v>8</v>
      </c>
      <c r="C996" s="7" t="n">
        <v>9</v>
      </c>
      <c r="D996" s="22" t="s">
        <v>481</v>
      </c>
      <c r="E996" s="4" t="s">
        <v>1883</v>
      </c>
      <c r="F996" s="23"/>
      <c r="G996" s="22" t="s">
        <v>32</v>
      </c>
      <c r="H996" s="3"/>
      <c r="I996" s="4" t="s">
        <v>1818</v>
      </c>
      <c r="J996" s="7" t="n">
        <f aca="false">LEN(E996)-SUMPRODUCT(LEN(E996)-LEN(SUBSTITUTE(E996,{"，","。","？","！","、","…","；","：","《","》"," ","“","”","—","（","）","·"},"")))</f>
        <v>13</v>
      </c>
      <c r="K996" s="23"/>
    </row>
    <row r="997" customFormat="false" ht="36" hidden="false" customHeight="true" outlineLevel="0" collapsed="false">
      <c r="A997" s="7" t="s">
        <v>202</v>
      </c>
      <c r="B997" s="15" t="n">
        <v>8</v>
      </c>
      <c r="C997" s="7" t="n">
        <v>10</v>
      </c>
      <c r="D997" s="22" t="s">
        <v>219</v>
      </c>
      <c r="E997" s="4" t="s">
        <v>1884</v>
      </c>
      <c r="F997" s="23"/>
      <c r="G997" s="22" t="s">
        <v>32</v>
      </c>
      <c r="H997" s="3"/>
      <c r="I997" s="4" t="s">
        <v>1885</v>
      </c>
      <c r="J997" s="7" t="n">
        <f aca="false">LEN(E997)-SUMPRODUCT(LEN(E997)-LEN(SUBSTITUTE(E997,{"，","。","？","！","、","…","；","：","《","》"," ","“","”","—","（","）","·"},"")))</f>
        <v>40</v>
      </c>
      <c r="K997" s="23"/>
    </row>
    <row r="998" customFormat="false" ht="21" hidden="false" customHeight="true" outlineLevel="0" collapsed="false">
      <c r="A998" s="7" t="s">
        <v>202</v>
      </c>
      <c r="B998" s="15" t="n">
        <v>8</v>
      </c>
      <c r="C998" s="7" t="n">
        <v>11</v>
      </c>
      <c r="D998" s="22" t="s">
        <v>481</v>
      </c>
      <c r="E998" s="4" t="s">
        <v>1886</v>
      </c>
      <c r="F998" s="23"/>
      <c r="G998" s="22" t="s">
        <v>32</v>
      </c>
      <c r="H998" s="3"/>
      <c r="I998" s="4" t="s">
        <v>1887</v>
      </c>
      <c r="J998" s="7" t="n">
        <f aca="false">LEN(E998)-SUMPRODUCT(LEN(E998)-LEN(SUBSTITUTE(E998,{"，","。","？","！","、","…","；","：","《","》"," ","“","”","—","（","）","·"},"")))</f>
        <v>14</v>
      </c>
      <c r="K998" s="23"/>
    </row>
    <row r="999" customFormat="false" ht="36" hidden="false" customHeight="true" outlineLevel="0" collapsed="false">
      <c r="A999" s="7" t="s">
        <v>202</v>
      </c>
      <c r="B999" s="15" t="n">
        <v>8</v>
      </c>
      <c r="C999" s="7" t="n">
        <v>12</v>
      </c>
      <c r="D999" s="22" t="s">
        <v>222</v>
      </c>
      <c r="E999" s="4" t="s">
        <v>1888</v>
      </c>
      <c r="F999" s="23" t="s">
        <v>1889</v>
      </c>
      <c r="G999" s="22" t="s">
        <v>42</v>
      </c>
      <c r="H999" s="3"/>
      <c r="I999" s="3"/>
      <c r="J999" s="7" t="n">
        <f aca="false">LEN(E999)-SUMPRODUCT(LEN(E999)-LEN(SUBSTITUTE(E999,{"，","。","？","！","、","…","；","：","《","》"," ","“","”","—","（","）","·"},"")))</f>
        <v>5</v>
      </c>
      <c r="K999" s="23"/>
    </row>
    <row r="1000" customFormat="false" ht="66" hidden="false" customHeight="true" outlineLevel="0" collapsed="false">
      <c r="A1000" s="7" t="s">
        <v>202</v>
      </c>
      <c r="B1000" s="15" t="n">
        <v>8</v>
      </c>
      <c r="C1000" s="7" t="n">
        <v>13</v>
      </c>
      <c r="D1000" s="22" t="s">
        <v>219</v>
      </c>
      <c r="E1000" s="4" t="s">
        <v>1890</v>
      </c>
      <c r="F1000" s="23" t="s">
        <v>1891</v>
      </c>
      <c r="G1000" s="22" t="s">
        <v>40</v>
      </c>
      <c r="H1000" s="3"/>
      <c r="I1000" s="4" t="s">
        <v>1892</v>
      </c>
      <c r="J1000" s="7" t="n">
        <f aca="false">LEN(E1000)-SUMPRODUCT(LEN(E1000)-LEN(SUBSTITUTE(E1000,{"，","。","？","！","、","…","；","：","《","》"," ","“","”","—","（","）","·"},"")))</f>
        <v>74</v>
      </c>
      <c r="K1000" s="23"/>
    </row>
    <row r="1001" customFormat="false" ht="51" hidden="false" customHeight="true" outlineLevel="0" collapsed="false">
      <c r="A1001" s="7" t="s">
        <v>202</v>
      </c>
      <c r="B1001" s="15" t="n">
        <v>8</v>
      </c>
      <c r="C1001" s="7" t="n">
        <v>14</v>
      </c>
      <c r="D1001" s="22" t="s">
        <v>219</v>
      </c>
      <c r="E1001" s="4" t="s">
        <v>1893</v>
      </c>
      <c r="F1001" s="23"/>
      <c r="G1001" s="22" t="s">
        <v>40</v>
      </c>
      <c r="H1001" s="3"/>
      <c r="I1001" s="4" t="s">
        <v>1894</v>
      </c>
      <c r="J1001" s="7" t="n">
        <f aca="false">LEN(E1001)-SUMPRODUCT(LEN(E1001)-LEN(SUBSTITUTE(E1001,{"，","。","？","！","、","…","；","：","《","》"," ","“","”","—","（","）","·"},"")))</f>
        <v>50</v>
      </c>
      <c r="K1001" s="23"/>
    </row>
    <row r="1002" customFormat="false" ht="36" hidden="false" customHeight="true" outlineLevel="0" collapsed="false">
      <c r="A1002" s="7" t="s">
        <v>202</v>
      </c>
      <c r="B1002" s="15" t="n">
        <v>8</v>
      </c>
      <c r="C1002" s="7" t="n">
        <v>15</v>
      </c>
      <c r="D1002" s="22" t="s">
        <v>219</v>
      </c>
      <c r="E1002" s="4" t="s">
        <v>1895</v>
      </c>
      <c r="F1002" s="23" t="s">
        <v>1837</v>
      </c>
      <c r="G1002" s="22" t="s">
        <v>40</v>
      </c>
      <c r="H1002" s="3"/>
      <c r="I1002" s="3"/>
      <c r="J1002" s="7" t="n">
        <f aca="false">LEN(E1002)-SUMPRODUCT(LEN(E1002)-LEN(SUBSTITUTE(E1002,{"，","。","？","！","、","…","；","：","《","》"," ","“","”","—","（","）","·"},"")))</f>
        <v>41</v>
      </c>
      <c r="K1002" s="23"/>
    </row>
    <row r="1003" customFormat="false" ht="36" hidden="false" customHeight="true" outlineLevel="0" collapsed="false">
      <c r="A1003" s="7" t="s">
        <v>202</v>
      </c>
      <c r="B1003" s="15" t="n">
        <v>8</v>
      </c>
      <c r="C1003" s="7" t="n">
        <v>16</v>
      </c>
      <c r="D1003" s="22" t="s">
        <v>232</v>
      </c>
      <c r="E1003" s="4" t="s">
        <v>1896</v>
      </c>
      <c r="F1003" s="23"/>
      <c r="G1003" s="22" t="s">
        <v>40</v>
      </c>
      <c r="H1003" s="3"/>
      <c r="I1003" s="4" t="s">
        <v>1818</v>
      </c>
      <c r="J1003" s="7" t="n">
        <f aca="false">LEN(E1003)-SUMPRODUCT(LEN(E1003)-LEN(SUBSTITUTE(E1003,{"，","。","？","！","、","…","；","：","《","》"," ","“","”","—","（","）","·"},"")))</f>
        <v>15</v>
      </c>
      <c r="K1003" s="23"/>
    </row>
    <row r="1004" customFormat="false" ht="51" hidden="false" customHeight="true" outlineLevel="0" collapsed="false">
      <c r="A1004" s="7" t="s">
        <v>202</v>
      </c>
      <c r="B1004" s="15" t="n">
        <v>8</v>
      </c>
      <c r="C1004" s="7" t="n">
        <v>17</v>
      </c>
      <c r="D1004" s="22" t="s">
        <v>219</v>
      </c>
      <c r="E1004" s="4" t="s">
        <v>1897</v>
      </c>
      <c r="F1004" s="23"/>
      <c r="G1004" s="22" t="s">
        <v>40</v>
      </c>
      <c r="H1004" s="3"/>
      <c r="I1004" s="4" t="s">
        <v>1898</v>
      </c>
      <c r="J1004" s="7" t="n">
        <f aca="false">LEN(E1004)-SUMPRODUCT(LEN(E1004)-LEN(SUBSTITUTE(E1004,{"，","。","？","！","、","…","；","：","《","》"," ","“","”","—","（","）","·"},"")))</f>
        <v>50</v>
      </c>
      <c r="K1004" s="23"/>
    </row>
    <row r="1005" customFormat="false" ht="36" hidden="false" customHeight="true" outlineLevel="0" collapsed="false">
      <c r="A1005" s="7" t="s">
        <v>202</v>
      </c>
      <c r="B1005" s="15" t="n">
        <v>8</v>
      </c>
      <c r="C1005" s="7" t="n">
        <v>18</v>
      </c>
      <c r="D1005" s="22" t="s">
        <v>222</v>
      </c>
      <c r="E1005" s="4" t="s">
        <v>1899</v>
      </c>
      <c r="F1005" s="23"/>
      <c r="G1005" s="22" t="s">
        <v>40</v>
      </c>
      <c r="H1005" s="3"/>
      <c r="I1005" s="3"/>
      <c r="J1005" s="7" t="n">
        <f aca="false">LEN(E1005)-SUMPRODUCT(LEN(E1005)-LEN(SUBSTITUTE(E1005,{"，","。","？","！","、","…","；","：","《","》"," ","“","”","—","（","）","·"},"")))</f>
        <v>14</v>
      </c>
      <c r="K1005" s="23"/>
    </row>
    <row r="1006" customFormat="false" ht="36" hidden="false" customHeight="true" outlineLevel="0" collapsed="false">
      <c r="A1006" s="7" t="s">
        <v>202</v>
      </c>
      <c r="B1006" s="15" t="n">
        <v>8</v>
      </c>
      <c r="C1006" s="7" t="n">
        <v>19</v>
      </c>
      <c r="D1006" s="22" t="s">
        <v>232</v>
      </c>
      <c r="E1006" s="4" t="s">
        <v>1900</v>
      </c>
      <c r="F1006" s="23"/>
      <c r="G1006" s="22" t="s">
        <v>30</v>
      </c>
      <c r="H1006" s="3"/>
      <c r="I1006" s="4" t="s">
        <v>1887</v>
      </c>
      <c r="J1006" s="7" t="n">
        <f aca="false">LEN(E1006)-SUMPRODUCT(LEN(E1006)-LEN(SUBSTITUTE(E1006,{"，","。","？","！","、","…","；","：","《","》"," ","“","”","—","（","）","·"},"")))</f>
        <v>16</v>
      </c>
      <c r="K1006" s="23"/>
    </row>
    <row r="1007" customFormat="false" ht="36" hidden="false" customHeight="true" outlineLevel="0" collapsed="false">
      <c r="A1007" s="7" t="s">
        <v>202</v>
      </c>
      <c r="B1007" s="15" t="n">
        <v>8</v>
      </c>
      <c r="C1007" s="7" t="n">
        <v>20</v>
      </c>
      <c r="D1007" s="22" t="s">
        <v>481</v>
      </c>
      <c r="E1007" s="4" t="s">
        <v>1901</v>
      </c>
      <c r="F1007" s="23"/>
      <c r="G1007" s="22" t="s">
        <v>40</v>
      </c>
      <c r="H1007" s="3"/>
      <c r="I1007" s="3"/>
      <c r="J1007" s="7" t="n">
        <f aca="false">LEN(E1007)-SUMPRODUCT(LEN(E1007)-LEN(SUBSTITUTE(E1007,{"，","。","？","！","、","…","；","：","《","》"," ","“","”","—","（","）","·"},"")))</f>
        <v>14</v>
      </c>
      <c r="K1007" s="23"/>
    </row>
    <row r="1008" customFormat="false" ht="66" hidden="false" customHeight="true" outlineLevel="0" collapsed="false">
      <c r="A1008" s="7" t="s">
        <v>202</v>
      </c>
      <c r="B1008" s="15" t="n">
        <v>8</v>
      </c>
      <c r="C1008" s="7" t="n">
        <v>21</v>
      </c>
      <c r="D1008" s="22" t="s">
        <v>219</v>
      </c>
      <c r="E1008" s="4" t="s">
        <v>1902</v>
      </c>
      <c r="F1008" s="23"/>
      <c r="G1008" s="22" t="s">
        <v>40</v>
      </c>
      <c r="H1008" s="3"/>
      <c r="I1008" s="4" t="s">
        <v>1903</v>
      </c>
      <c r="J1008" s="7" t="n">
        <f aca="false">LEN(E1008)-SUMPRODUCT(LEN(E1008)-LEN(SUBSTITUTE(E1008,{"，","。","？","！","、","…","；","：","《","》"," ","“","”","—","（","）","·"},"")))</f>
        <v>69</v>
      </c>
      <c r="K1008" s="23"/>
    </row>
    <row r="1009" customFormat="false" ht="36" hidden="false" customHeight="true" outlineLevel="0" collapsed="false">
      <c r="A1009" s="7" t="s">
        <v>202</v>
      </c>
      <c r="B1009" s="15" t="n">
        <v>8</v>
      </c>
      <c r="C1009" s="7" t="n">
        <v>22</v>
      </c>
      <c r="D1009" s="22" t="s">
        <v>222</v>
      </c>
      <c r="E1009" s="4" t="s">
        <v>1904</v>
      </c>
      <c r="F1009" s="23"/>
      <c r="G1009" s="22" t="s">
        <v>40</v>
      </c>
      <c r="H1009" s="3"/>
      <c r="I1009" s="3"/>
      <c r="J1009" s="7" t="n">
        <f aca="false">LEN(E1009)-SUMPRODUCT(LEN(E1009)-LEN(SUBSTITUTE(E1009,{"，","。","？","！","、","…","；","：","《","》"," ","“","”","—","（","）","·"},"")))</f>
        <v>12</v>
      </c>
      <c r="K1009" s="23"/>
    </row>
    <row r="1010" customFormat="false" ht="36" hidden="false" customHeight="true" outlineLevel="0" collapsed="false">
      <c r="A1010" s="7" t="s">
        <v>202</v>
      </c>
      <c r="B1010" s="15" t="n">
        <v>8</v>
      </c>
      <c r="C1010" s="7" t="n">
        <v>23</v>
      </c>
      <c r="D1010" s="22" t="s">
        <v>219</v>
      </c>
      <c r="E1010" s="4" t="s">
        <v>1905</v>
      </c>
      <c r="F1010" s="23"/>
      <c r="G1010" s="22" t="s">
        <v>40</v>
      </c>
      <c r="H1010" s="3"/>
      <c r="I1010" s="3"/>
      <c r="J1010" s="7" t="n">
        <f aca="false">LEN(E1010)-SUMPRODUCT(LEN(E1010)-LEN(SUBSTITUTE(E1010,{"，","。","？","！","、","…","；","：","《","》"," ","“","”","—","（","）","·"},"")))</f>
        <v>34</v>
      </c>
      <c r="K1010" s="23"/>
    </row>
    <row r="1011" customFormat="false" ht="36" hidden="false" customHeight="true" outlineLevel="0" collapsed="false">
      <c r="A1011" s="7" t="s">
        <v>202</v>
      </c>
      <c r="B1011" s="15" t="n">
        <v>8</v>
      </c>
      <c r="C1011" s="7" t="n">
        <v>24</v>
      </c>
      <c r="D1011" s="22" t="s">
        <v>222</v>
      </c>
      <c r="E1011" s="4" t="s">
        <v>1906</v>
      </c>
      <c r="F1011" s="23"/>
      <c r="G1011" s="22" t="s">
        <v>40</v>
      </c>
      <c r="H1011" s="3"/>
      <c r="I1011" s="3"/>
      <c r="J1011" s="7" t="n">
        <f aca="false">LEN(E1011)-SUMPRODUCT(LEN(E1011)-LEN(SUBSTITUTE(E1011,{"，","。","？","！","、","…","；","：","《","》"," ","“","”","—","（","）","·"},"")))</f>
        <v>10</v>
      </c>
      <c r="K1011" s="23"/>
    </row>
    <row r="1012" customFormat="false" ht="36" hidden="false" customHeight="true" outlineLevel="0" collapsed="false">
      <c r="A1012" s="7" t="s">
        <v>202</v>
      </c>
      <c r="B1012" s="15" t="n">
        <v>8</v>
      </c>
      <c r="C1012" s="7" t="n">
        <v>25</v>
      </c>
      <c r="D1012" s="22" t="s">
        <v>481</v>
      </c>
      <c r="E1012" s="4" t="s">
        <v>1907</v>
      </c>
      <c r="F1012" s="23"/>
      <c r="G1012" s="22" t="s">
        <v>40</v>
      </c>
      <c r="H1012" s="3"/>
      <c r="I1012" s="3"/>
      <c r="J1012" s="7" t="n">
        <f aca="false">LEN(E1012)-SUMPRODUCT(LEN(E1012)-LEN(SUBSTITUTE(E1012,{"，","。","？","！","、","…","；","：","《","》"," ","“","”","—","（","）","·"},"")))</f>
        <v>11</v>
      </c>
      <c r="K1012" s="23"/>
    </row>
    <row r="1013" customFormat="false" ht="51" hidden="false" customHeight="true" outlineLevel="0" collapsed="false">
      <c r="A1013" s="7" t="s">
        <v>202</v>
      </c>
      <c r="B1013" s="15" t="n">
        <v>8</v>
      </c>
      <c r="C1013" s="7" t="n">
        <v>26</v>
      </c>
      <c r="D1013" s="22" t="s">
        <v>219</v>
      </c>
      <c r="E1013" s="4" t="s">
        <v>1908</v>
      </c>
      <c r="F1013" s="23"/>
      <c r="G1013" s="22" t="s">
        <v>40</v>
      </c>
      <c r="H1013" s="3"/>
      <c r="I1013" s="4" t="s">
        <v>1686</v>
      </c>
      <c r="J1013" s="7" t="n">
        <f aca="false">LEN(E1013)-SUMPRODUCT(LEN(E1013)-LEN(SUBSTITUTE(E1013,{"，","。","？","！","、","…","；","：","《","》"," ","“","”","—","（","）","·"},"")))</f>
        <v>46</v>
      </c>
      <c r="K1013" s="23"/>
    </row>
    <row r="1014" customFormat="false" ht="36" hidden="false" customHeight="true" outlineLevel="0" collapsed="false">
      <c r="A1014" s="7" t="s">
        <v>202</v>
      </c>
      <c r="B1014" s="15" t="n">
        <v>8</v>
      </c>
      <c r="C1014" s="7" t="n">
        <v>27</v>
      </c>
      <c r="D1014" s="22" t="s">
        <v>481</v>
      </c>
      <c r="E1014" s="4" t="s">
        <v>1909</v>
      </c>
      <c r="F1014" s="23" t="s">
        <v>1910</v>
      </c>
      <c r="G1014" s="22" t="s">
        <v>40</v>
      </c>
      <c r="H1014" s="3"/>
      <c r="I1014" s="3"/>
      <c r="J1014" s="7" t="n">
        <f aca="false">LEN(E1014)-SUMPRODUCT(LEN(E1014)-LEN(SUBSTITUTE(E1014,{"，","。","？","！","、","…","；","：","《","》"," ","“","”","—","（","）","·"},"")))</f>
        <v>10</v>
      </c>
      <c r="K1014" s="23"/>
    </row>
    <row r="1015" customFormat="false" ht="66" hidden="false" customHeight="true" outlineLevel="0" collapsed="false">
      <c r="A1015" s="7" t="s">
        <v>202</v>
      </c>
      <c r="B1015" s="15" t="n">
        <v>8</v>
      </c>
      <c r="C1015" s="7" t="n">
        <v>28</v>
      </c>
      <c r="D1015" s="22" t="s">
        <v>219</v>
      </c>
      <c r="E1015" s="4" t="s">
        <v>1911</v>
      </c>
      <c r="F1015" s="23"/>
      <c r="G1015" s="22" t="s">
        <v>40</v>
      </c>
      <c r="H1015" s="3"/>
      <c r="I1015" s="3"/>
      <c r="J1015" s="7" t="n">
        <f aca="false">LEN(E1015)-SUMPRODUCT(LEN(E1015)-LEN(SUBSTITUTE(E1015,{"，","。","？","！","、","…","；","：","《","》"," ","“","”","—","（","）","·"},"")))</f>
        <v>66</v>
      </c>
      <c r="K1015" s="23"/>
    </row>
    <row r="1016" customFormat="false" ht="36" hidden="false" customHeight="true" outlineLevel="0" collapsed="false">
      <c r="A1016" s="7" t="s">
        <v>202</v>
      </c>
      <c r="B1016" s="15" t="n">
        <v>8</v>
      </c>
      <c r="C1016" s="7" t="n">
        <v>29</v>
      </c>
      <c r="D1016" s="22" t="s">
        <v>222</v>
      </c>
      <c r="E1016" s="4" t="s">
        <v>1912</v>
      </c>
      <c r="F1016" s="23" t="s">
        <v>1913</v>
      </c>
      <c r="G1016" s="22" t="s">
        <v>42</v>
      </c>
      <c r="H1016" s="3"/>
      <c r="I1016" s="3"/>
      <c r="J1016" s="7" t="n">
        <f aca="false">LEN(E1016)-SUMPRODUCT(LEN(E1016)-LEN(SUBSTITUTE(E1016,{"，","。","？","！","、","…","；","：","《","》"," ","“","”","—","（","）","·"},"")))</f>
        <v>16</v>
      </c>
      <c r="K1016" s="23"/>
    </row>
    <row r="1017" customFormat="false" ht="36" hidden="false" customHeight="true" outlineLevel="0" collapsed="false">
      <c r="A1017" s="7" t="s">
        <v>202</v>
      </c>
      <c r="B1017" s="15" t="n">
        <v>8</v>
      </c>
      <c r="C1017" s="7" t="n">
        <v>30</v>
      </c>
      <c r="D1017" s="22" t="s">
        <v>232</v>
      </c>
      <c r="E1017" s="4" t="s">
        <v>1914</v>
      </c>
      <c r="F1017" s="23"/>
      <c r="G1017" s="22" t="s">
        <v>30</v>
      </c>
      <c r="H1017" s="3"/>
      <c r="I1017" s="4" t="s">
        <v>1818</v>
      </c>
      <c r="J1017" s="7" t="n">
        <f aca="false">LEN(E1017)-SUMPRODUCT(LEN(E1017)-LEN(SUBSTITUTE(E1017,{"，","。","？","！","、","…","；","：","《","》"," ","“","”","—","（","）","·"},"")))</f>
        <v>23</v>
      </c>
      <c r="K1017" s="23"/>
    </row>
    <row r="1018" customFormat="false" ht="51" hidden="false" customHeight="true" outlineLevel="0" collapsed="false">
      <c r="A1018" s="7" t="s">
        <v>202</v>
      </c>
      <c r="B1018" s="15" t="n">
        <v>8</v>
      </c>
      <c r="C1018" s="7" t="n">
        <v>31</v>
      </c>
      <c r="D1018" s="22" t="s">
        <v>219</v>
      </c>
      <c r="E1018" s="4" t="s">
        <v>1915</v>
      </c>
      <c r="F1018" s="23"/>
      <c r="G1018" s="22" t="s">
        <v>30</v>
      </c>
      <c r="H1018" s="3"/>
      <c r="I1018" s="4" t="s">
        <v>1916</v>
      </c>
      <c r="J1018" s="7" t="n">
        <f aca="false">LEN(E1018)-SUMPRODUCT(LEN(E1018)-LEN(SUBSTITUTE(E1018,{"，","。","？","！","、","…","；","：","《","》"," ","“","”","—","（","）","·"},"")))</f>
        <v>54</v>
      </c>
      <c r="K1018" s="23"/>
    </row>
    <row r="1019" customFormat="false" ht="21" hidden="false" customHeight="true" outlineLevel="0" collapsed="false">
      <c r="A1019" s="7" t="s">
        <v>202</v>
      </c>
      <c r="B1019" s="15" t="n">
        <v>8</v>
      </c>
      <c r="C1019" s="7" t="n">
        <v>32</v>
      </c>
      <c r="D1019" s="22" t="s">
        <v>232</v>
      </c>
      <c r="E1019" s="4" t="s">
        <v>1917</v>
      </c>
      <c r="F1019" s="23" t="s">
        <v>1395</v>
      </c>
      <c r="G1019" s="22" t="s">
        <v>42</v>
      </c>
      <c r="H1019" s="3"/>
      <c r="I1019" s="3"/>
      <c r="J1019" s="7" t="n">
        <f aca="false">LEN(E1019)-SUMPRODUCT(LEN(E1019)-LEN(SUBSTITUTE(E1019,{"，","。","？","！","、","…","；","：","《","》"," ","“","”","—","（","）","·"},"")))</f>
        <v>10</v>
      </c>
      <c r="K1019" s="23"/>
    </row>
    <row r="1020" customFormat="false" ht="36" hidden="false" customHeight="true" outlineLevel="0" collapsed="false">
      <c r="A1020" s="7" t="s">
        <v>202</v>
      </c>
      <c r="B1020" s="15" t="n">
        <v>8</v>
      </c>
      <c r="C1020" s="7" t="n">
        <v>33</v>
      </c>
      <c r="D1020" s="22" t="s">
        <v>219</v>
      </c>
      <c r="E1020" s="4" t="s">
        <v>1918</v>
      </c>
      <c r="F1020" s="23" t="s">
        <v>1919</v>
      </c>
      <c r="G1020" s="22" t="s">
        <v>40</v>
      </c>
      <c r="H1020" s="3" t="s">
        <v>1920</v>
      </c>
      <c r="I1020" s="3"/>
      <c r="J1020" s="7" t="n">
        <f aca="false">LEN(E1020)-SUMPRODUCT(LEN(E1020)-LEN(SUBSTITUTE(E1020,{"，","。","？","！","、","…","；","：","《","》"," ","“","”","—","（","）","·"},"")))</f>
        <v>36</v>
      </c>
      <c r="K1020" s="23"/>
    </row>
    <row r="1021" customFormat="false" ht="36" hidden="false" customHeight="true" outlineLevel="0" collapsed="false">
      <c r="A1021" s="7" t="s">
        <v>202</v>
      </c>
      <c r="B1021" s="15" t="n">
        <v>8</v>
      </c>
      <c r="C1021" s="7" t="n">
        <v>34</v>
      </c>
      <c r="D1021" s="22" t="s">
        <v>481</v>
      </c>
      <c r="E1021" s="4" t="s">
        <v>1921</v>
      </c>
      <c r="F1021" s="23"/>
      <c r="G1021" s="22" t="s">
        <v>40</v>
      </c>
      <c r="H1021" s="3"/>
      <c r="I1021" s="3"/>
      <c r="J1021" s="7" t="n">
        <f aca="false">LEN(E1021)-SUMPRODUCT(LEN(E1021)-LEN(SUBSTITUTE(E1021,{"，","。","？","！","、","…","；","：","《","》"," ","“","”","—","（","）","·"},"")))</f>
        <v>8</v>
      </c>
      <c r="K1021" s="23"/>
    </row>
    <row r="1022" customFormat="false" ht="36" hidden="false" customHeight="true" outlineLevel="0" collapsed="false">
      <c r="A1022" s="7" t="s">
        <v>202</v>
      </c>
      <c r="B1022" s="15" t="n">
        <v>8</v>
      </c>
      <c r="C1022" s="7" t="n">
        <v>35</v>
      </c>
      <c r="D1022" s="22" t="s">
        <v>229</v>
      </c>
      <c r="E1022" s="4" t="s">
        <v>1922</v>
      </c>
      <c r="F1022" s="23" t="s">
        <v>1923</v>
      </c>
      <c r="G1022" s="22" t="s">
        <v>40</v>
      </c>
      <c r="H1022" s="3"/>
      <c r="I1022" s="3"/>
      <c r="J1022" s="7" t="n">
        <f aca="false">LEN(E1022)-SUMPRODUCT(LEN(E1022)-LEN(SUBSTITUTE(E1022,{"，","。","？","！","、","…","；","：","《","》"," ","“","”","—","（","）","·"},"")))</f>
        <v>15</v>
      </c>
      <c r="K1022" s="23"/>
    </row>
    <row r="1023" customFormat="false" ht="36" hidden="false" customHeight="true" outlineLevel="0" collapsed="false">
      <c r="A1023" s="7" t="s">
        <v>202</v>
      </c>
      <c r="B1023" s="15" t="n">
        <v>8</v>
      </c>
      <c r="C1023" s="7" t="n">
        <v>36</v>
      </c>
      <c r="D1023" s="22" t="s">
        <v>219</v>
      </c>
      <c r="E1023" s="4" t="s">
        <v>1924</v>
      </c>
      <c r="F1023" s="23"/>
      <c r="G1023" s="22" t="s">
        <v>40</v>
      </c>
      <c r="H1023" s="3" t="s">
        <v>1925</v>
      </c>
      <c r="I1023" s="3"/>
      <c r="J1023" s="7" t="n">
        <f aca="false">LEN(E1023)-SUMPRODUCT(LEN(E1023)-LEN(SUBSTITUTE(E1023,{"，","。","？","！","、","…","；","：","《","》"," ","“","”","—","（","）","·"},"")))</f>
        <v>23</v>
      </c>
      <c r="K1023" s="23"/>
    </row>
    <row r="1024" customFormat="false" ht="21" hidden="false" customHeight="true" outlineLevel="0" collapsed="false">
      <c r="A1024" s="7" t="s">
        <v>202</v>
      </c>
      <c r="B1024" s="15" t="n">
        <v>8</v>
      </c>
      <c r="C1024" s="7" t="n">
        <v>37</v>
      </c>
      <c r="D1024" s="22" t="s">
        <v>481</v>
      </c>
      <c r="E1024" s="4" t="s">
        <v>1926</v>
      </c>
      <c r="F1024" s="23"/>
      <c r="G1024" s="22" t="s">
        <v>42</v>
      </c>
      <c r="H1024" s="3"/>
      <c r="I1024" s="4" t="s">
        <v>1927</v>
      </c>
      <c r="J1024" s="7" t="n">
        <f aca="false">LEN(E1024)-SUMPRODUCT(LEN(E1024)-LEN(SUBSTITUTE(E1024,{"，","。","？","！","、","…","；","：","《","》"," ","“","”","—","（","）","·"},"")))</f>
        <v>20</v>
      </c>
      <c r="K1024" s="23"/>
    </row>
    <row r="1025" customFormat="false" ht="36" hidden="false" customHeight="true" outlineLevel="0" collapsed="false">
      <c r="A1025" s="7" t="s">
        <v>207</v>
      </c>
      <c r="B1025" s="15" t="n">
        <v>8</v>
      </c>
      <c r="C1025" s="7" t="n">
        <v>1</v>
      </c>
      <c r="D1025" s="22" t="s">
        <v>219</v>
      </c>
      <c r="E1025" s="4" t="s">
        <v>1928</v>
      </c>
      <c r="F1025" s="23" t="s">
        <v>1929</v>
      </c>
      <c r="G1025" s="22" t="s">
        <v>42</v>
      </c>
      <c r="H1025" s="3"/>
      <c r="I1025" s="4" t="s">
        <v>1930</v>
      </c>
      <c r="J1025" s="7" t="n">
        <f aca="false">LEN(E1025)-SUMPRODUCT(LEN(E1025)-LEN(SUBSTITUTE(E1025,{"，","。","？","！","、","…","；","：","《","》"," ","“","”","—","（","）","·"},"")))</f>
        <v>29</v>
      </c>
      <c r="K1025" s="23"/>
    </row>
    <row r="1026" customFormat="false" ht="21" hidden="false" customHeight="true" outlineLevel="0" collapsed="false">
      <c r="A1026" s="7" t="s">
        <v>207</v>
      </c>
      <c r="B1026" s="15" t="n">
        <v>8</v>
      </c>
      <c r="C1026" s="7" t="n">
        <v>2</v>
      </c>
      <c r="D1026" s="22" t="s">
        <v>222</v>
      </c>
      <c r="E1026" s="4" t="s">
        <v>1931</v>
      </c>
      <c r="F1026" s="23"/>
      <c r="G1026" s="22" t="s">
        <v>42</v>
      </c>
      <c r="H1026" s="3"/>
      <c r="I1026" s="4" t="s">
        <v>1818</v>
      </c>
      <c r="J1026" s="7" t="n">
        <f aca="false">LEN(E1026)-SUMPRODUCT(LEN(E1026)-LEN(SUBSTITUTE(E1026,{"，","。","？","！","、","…","；","：","《","》"," ","“","”","—","（","）","·"},"")))</f>
        <v>3</v>
      </c>
      <c r="K1026" s="23"/>
    </row>
    <row r="1027" customFormat="false" ht="66" hidden="false" customHeight="true" outlineLevel="0" collapsed="false">
      <c r="A1027" s="7" t="s">
        <v>207</v>
      </c>
      <c r="B1027" s="15" t="n">
        <v>8</v>
      </c>
      <c r="C1027" s="7" t="n">
        <v>3</v>
      </c>
      <c r="D1027" s="22" t="s">
        <v>219</v>
      </c>
      <c r="E1027" s="4" t="s">
        <v>1932</v>
      </c>
      <c r="F1027" s="23" t="s">
        <v>1827</v>
      </c>
      <c r="G1027" s="22" t="s">
        <v>34</v>
      </c>
      <c r="H1027" s="3"/>
      <c r="I1027" s="4" t="s">
        <v>1933</v>
      </c>
      <c r="J1027" s="7" t="n">
        <f aca="false">LEN(E1027)-SUMPRODUCT(LEN(E1027)-LEN(SUBSTITUTE(E1027,{"，","。","？","！","、","…","；","：","《","》"," ","“","”","—","（","）","·"},"")))</f>
        <v>80</v>
      </c>
      <c r="K1027" s="23"/>
    </row>
    <row r="1028" customFormat="false" ht="36" hidden="false" customHeight="true" outlineLevel="0" collapsed="false">
      <c r="A1028" s="7" t="s">
        <v>207</v>
      </c>
      <c r="B1028" s="15" t="n">
        <v>8</v>
      </c>
      <c r="C1028" s="7" t="n">
        <v>4</v>
      </c>
      <c r="D1028" s="22" t="s">
        <v>232</v>
      </c>
      <c r="E1028" s="4" t="s">
        <v>1934</v>
      </c>
      <c r="F1028" s="23"/>
      <c r="G1028" s="22" t="s">
        <v>34</v>
      </c>
      <c r="H1028" s="3"/>
      <c r="I1028" s="3"/>
      <c r="J1028" s="7" t="n">
        <f aca="false">LEN(E1028)-SUMPRODUCT(LEN(E1028)-LEN(SUBSTITUTE(E1028,{"，","。","？","！","、","…","；","：","《","》"," ","“","”","—","（","）","·"},"")))</f>
        <v>15</v>
      </c>
      <c r="K1028" s="23"/>
    </row>
    <row r="1029" customFormat="false" ht="36" hidden="false" customHeight="true" outlineLevel="0" collapsed="false">
      <c r="A1029" s="7" t="s">
        <v>207</v>
      </c>
      <c r="B1029" s="15" t="n">
        <v>8</v>
      </c>
      <c r="C1029" s="7" t="n">
        <v>5</v>
      </c>
      <c r="D1029" s="22" t="s">
        <v>481</v>
      </c>
      <c r="E1029" s="4" t="s">
        <v>1935</v>
      </c>
      <c r="F1029" s="23"/>
      <c r="G1029" s="22" t="s">
        <v>34</v>
      </c>
      <c r="H1029" s="3"/>
      <c r="I1029" s="3"/>
      <c r="J1029" s="7" t="n">
        <f aca="false">LEN(E1029)-SUMPRODUCT(LEN(E1029)-LEN(SUBSTITUTE(E1029,{"，","。","？","！","、","…","；","：","《","》"," ","“","”","—","（","）","·"},"")))</f>
        <v>8</v>
      </c>
      <c r="K1029" s="23"/>
    </row>
    <row r="1030" customFormat="false" ht="36" hidden="false" customHeight="true" outlineLevel="0" collapsed="false">
      <c r="A1030" s="7" t="s">
        <v>207</v>
      </c>
      <c r="B1030" s="15" t="n">
        <v>8</v>
      </c>
      <c r="C1030" s="7" t="n">
        <v>6</v>
      </c>
      <c r="D1030" s="22" t="s">
        <v>222</v>
      </c>
      <c r="E1030" s="4" t="s">
        <v>1936</v>
      </c>
      <c r="F1030" s="23" t="s">
        <v>234</v>
      </c>
      <c r="G1030" s="22" t="s">
        <v>34</v>
      </c>
      <c r="H1030" s="3"/>
      <c r="I1030" s="4" t="s">
        <v>1818</v>
      </c>
      <c r="J1030" s="7" t="n">
        <f aca="false">LEN(E1030)-SUMPRODUCT(LEN(E1030)-LEN(SUBSTITUTE(E1030,{"，","。","？","！","、","…","；","：","《","》"," ","“","”","—","（","）","·"},"")))</f>
        <v>7</v>
      </c>
      <c r="K1030" s="23"/>
    </row>
    <row r="1031" customFormat="false" ht="36" hidden="false" customHeight="true" outlineLevel="0" collapsed="false">
      <c r="A1031" s="7" t="s">
        <v>207</v>
      </c>
      <c r="B1031" s="15" t="n">
        <v>8</v>
      </c>
      <c r="C1031" s="7" t="n">
        <v>7</v>
      </c>
      <c r="D1031" s="22" t="s">
        <v>219</v>
      </c>
      <c r="E1031" s="4" t="s">
        <v>1937</v>
      </c>
      <c r="F1031" s="23"/>
      <c r="G1031" s="22" t="s">
        <v>34</v>
      </c>
      <c r="H1031" s="3"/>
      <c r="I1031" s="4" t="s">
        <v>1938</v>
      </c>
      <c r="J1031" s="7" t="n">
        <f aca="false">LEN(E1031)-SUMPRODUCT(LEN(E1031)-LEN(SUBSTITUTE(E1031,{"，","。","？","！","、","…","；","：","《","》"," ","“","”","—","（","）","·"},"")))</f>
        <v>23</v>
      </c>
      <c r="K1031" s="23"/>
    </row>
    <row r="1032" customFormat="false" ht="36" hidden="false" customHeight="true" outlineLevel="0" collapsed="false">
      <c r="A1032" s="7" t="s">
        <v>207</v>
      </c>
      <c r="B1032" s="15" t="n">
        <v>8</v>
      </c>
      <c r="C1032" s="7" t="n">
        <v>8</v>
      </c>
      <c r="D1032" s="22" t="s">
        <v>472</v>
      </c>
      <c r="E1032" s="4" t="s">
        <v>1939</v>
      </c>
      <c r="F1032" s="23" t="s">
        <v>1940</v>
      </c>
      <c r="G1032" s="22" t="s">
        <v>40</v>
      </c>
      <c r="H1032" s="3"/>
      <c r="I1032" s="3"/>
      <c r="J1032" s="7" t="n">
        <f aca="false">LEN(E1032)-SUMPRODUCT(LEN(E1032)-LEN(SUBSTITUTE(E1032,{"，","。","？","！","、","…","；","：","《","》"," ","“","”","—","（","）","·"},"")))</f>
        <v>39</v>
      </c>
      <c r="K1032" s="23"/>
    </row>
    <row r="1033" customFormat="false" ht="21" hidden="false" customHeight="true" outlineLevel="0" collapsed="false">
      <c r="A1033" s="7" t="s">
        <v>207</v>
      </c>
      <c r="B1033" s="15" t="n">
        <v>8</v>
      </c>
      <c r="C1033" s="7" t="n">
        <v>9</v>
      </c>
      <c r="D1033" s="22" t="s">
        <v>232</v>
      </c>
      <c r="E1033" s="4" t="s">
        <v>1941</v>
      </c>
      <c r="F1033" s="23"/>
      <c r="G1033" s="22" t="s">
        <v>32</v>
      </c>
      <c r="H1033" s="3"/>
      <c r="I1033" s="3"/>
      <c r="J1033" s="7" t="n">
        <f aca="false">LEN(E1033)-SUMPRODUCT(LEN(E1033)-LEN(SUBSTITUTE(E1033,{"，","。","？","！","、","…","；","：","《","》"," ","“","”","—","（","）","·"},"")))</f>
        <v>9</v>
      </c>
      <c r="K1033" s="23"/>
    </row>
    <row r="1034" customFormat="false" ht="36" hidden="false" customHeight="true" outlineLevel="0" collapsed="false">
      <c r="A1034" s="7" t="s">
        <v>207</v>
      </c>
      <c r="B1034" s="15" t="n">
        <v>8</v>
      </c>
      <c r="C1034" s="7" t="n">
        <v>10</v>
      </c>
      <c r="D1034" s="22" t="s">
        <v>472</v>
      </c>
      <c r="E1034" s="4" t="s">
        <v>1942</v>
      </c>
      <c r="F1034" s="23"/>
      <c r="G1034" s="22" t="s">
        <v>32</v>
      </c>
      <c r="H1034" s="3"/>
      <c r="I1034" s="3"/>
      <c r="J1034" s="7" t="n">
        <f aca="false">LEN(E1034)-SUMPRODUCT(LEN(E1034)-LEN(SUBSTITUTE(E1034,{"，","。","？","！","、","…","；","：","《","》"," ","“","”","—","（","）","·"},"")))</f>
        <v>34</v>
      </c>
      <c r="K1034" s="23"/>
    </row>
    <row r="1035" customFormat="false" ht="21" hidden="false" customHeight="true" outlineLevel="0" collapsed="false">
      <c r="A1035" s="7" t="s">
        <v>207</v>
      </c>
      <c r="B1035" s="15" t="n">
        <v>8</v>
      </c>
      <c r="C1035" s="7" t="n">
        <v>11</v>
      </c>
      <c r="D1035" s="22" t="s">
        <v>481</v>
      </c>
      <c r="E1035" s="4" t="s">
        <v>1943</v>
      </c>
      <c r="F1035" s="23"/>
      <c r="G1035" s="22" t="s">
        <v>32</v>
      </c>
      <c r="H1035" s="3"/>
      <c r="I1035" s="3"/>
      <c r="J1035" s="7" t="n">
        <f aca="false">LEN(E1035)-SUMPRODUCT(LEN(E1035)-LEN(SUBSTITUTE(E1035,{"，","。","？","！","、","…","；","：","《","》"," ","“","”","—","（","）","·"},"")))</f>
        <v>14</v>
      </c>
      <c r="K1035" s="23"/>
    </row>
    <row r="1036" customFormat="false" ht="36" hidden="false" customHeight="true" outlineLevel="0" collapsed="false">
      <c r="A1036" s="7" t="s">
        <v>207</v>
      </c>
      <c r="B1036" s="15" t="n">
        <v>8</v>
      </c>
      <c r="C1036" s="7" t="n">
        <v>12</v>
      </c>
      <c r="D1036" s="22" t="s">
        <v>472</v>
      </c>
      <c r="E1036" s="4" t="s">
        <v>1944</v>
      </c>
      <c r="F1036" s="23"/>
      <c r="G1036" s="22" t="s">
        <v>32</v>
      </c>
      <c r="H1036" s="3"/>
      <c r="I1036" s="4" t="s">
        <v>990</v>
      </c>
      <c r="J1036" s="7" t="n">
        <f aca="false">LEN(E1036)-SUMPRODUCT(LEN(E1036)-LEN(SUBSTITUTE(E1036,{"，","。","？","！","、","…","；","：","《","》"," ","“","”","—","（","）","·"},"")))</f>
        <v>37</v>
      </c>
      <c r="K1036" s="23"/>
    </row>
    <row r="1037" customFormat="false" ht="21" hidden="false" customHeight="true" outlineLevel="0" collapsed="false">
      <c r="A1037" s="7" t="s">
        <v>207</v>
      </c>
      <c r="B1037" s="15" t="n">
        <v>8</v>
      </c>
      <c r="C1037" s="7" t="n">
        <v>13</v>
      </c>
      <c r="D1037" s="22" t="s">
        <v>481</v>
      </c>
      <c r="E1037" s="4" t="s">
        <v>1945</v>
      </c>
      <c r="F1037" s="23"/>
      <c r="G1037" s="22" t="s">
        <v>32</v>
      </c>
      <c r="H1037" s="3"/>
      <c r="I1037" s="3"/>
      <c r="J1037" s="7" t="n">
        <f aca="false">LEN(E1037)-SUMPRODUCT(LEN(E1037)-LEN(SUBSTITUTE(E1037,{"，","。","？","！","、","…","；","：","《","》"," ","“","”","—","（","）","·"},"")))</f>
        <v>13</v>
      </c>
      <c r="K1037" s="23"/>
    </row>
    <row r="1038" customFormat="false" ht="21" hidden="false" customHeight="true" outlineLevel="0" collapsed="false">
      <c r="A1038" s="7" t="s">
        <v>207</v>
      </c>
      <c r="B1038" s="15" t="n">
        <v>8</v>
      </c>
      <c r="C1038" s="7" t="n">
        <v>14</v>
      </c>
      <c r="D1038" s="22" t="s">
        <v>232</v>
      </c>
      <c r="E1038" s="4" t="s">
        <v>1946</v>
      </c>
      <c r="F1038" s="23"/>
      <c r="G1038" s="22" t="s">
        <v>32</v>
      </c>
      <c r="H1038" s="3"/>
      <c r="I1038" s="3"/>
      <c r="J1038" s="7" t="n">
        <f aca="false">LEN(E1038)-SUMPRODUCT(LEN(E1038)-LEN(SUBSTITUTE(E1038,{"，","。","？","！","、","…","；","：","《","》"," ","“","”","—","（","）","·"},"")))</f>
        <v>16</v>
      </c>
      <c r="K1038" s="23"/>
    </row>
    <row r="1039" customFormat="false" ht="36" hidden="false" customHeight="true" outlineLevel="0" collapsed="false">
      <c r="A1039" s="7" t="s">
        <v>207</v>
      </c>
      <c r="B1039" s="15" t="n">
        <v>8</v>
      </c>
      <c r="C1039" s="7" t="n">
        <v>15</v>
      </c>
      <c r="D1039" s="22" t="s">
        <v>472</v>
      </c>
      <c r="E1039" s="4" t="s">
        <v>1947</v>
      </c>
      <c r="F1039" s="23"/>
      <c r="G1039" s="22" t="s">
        <v>32</v>
      </c>
      <c r="H1039" s="3" t="s">
        <v>816</v>
      </c>
      <c r="I1039" s="3"/>
      <c r="J1039" s="7" t="n">
        <f aca="false">LEN(E1039)-SUMPRODUCT(LEN(E1039)-LEN(SUBSTITUTE(E1039,{"，","。","？","！","、","…","；","：","《","》"," ","“","”","—","（","）","·"},"")))</f>
        <v>25</v>
      </c>
      <c r="K1039" s="23"/>
    </row>
    <row r="1040" customFormat="false" ht="66" hidden="false" customHeight="true" outlineLevel="0" collapsed="false">
      <c r="A1040" s="7" t="s">
        <v>207</v>
      </c>
      <c r="B1040" s="15" t="n">
        <v>8</v>
      </c>
      <c r="C1040" s="7" t="n">
        <v>16</v>
      </c>
      <c r="D1040" s="22" t="s">
        <v>219</v>
      </c>
      <c r="E1040" s="4" t="s">
        <v>1948</v>
      </c>
      <c r="F1040" s="23" t="s">
        <v>1949</v>
      </c>
      <c r="G1040" s="22" t="s">
        <v>40</v>
      </c>
      <c r="H1040" s="3"/>
      <c r="I1040" s="3"/>
      <c r="J1040" s="7" t="n">
        <f aca="false">LEN(E1040)-SUMPRODUCT(LEN(E1040)-LEN(SUBSTITUTE(E1040,{"，","。","？","！","、","…","；","：","《","》"," ","“","”","—","（","）","·"},"")))</f>
        <v>74</v>
      </c>
      <c r="K1040" s="23"/>
    </row>
    <row r="1041" customFormat="false" ht="51" hidden="false" customHeight="true" outlineLevel="0" collapsed="false">
      <c r="A1041" s="7" t="s">
        <v>207</v>
      </c>
      <c r="B1041" s="15" t="n">
        <v>8</v>
      </c>
      <c r="C1041" s="7" t="n">
        <v>17</v>
      </c>
      <c r="D1041" s="22" t="s">
        <v>219</v>
      </c>
      <c r="E1041" s="4" t="s">
        <v>1950</v>
      </c>
      <c r="F1041" s="23"/>
      <c r="G1041" s="22" t="s">
        <v>40</v>
      </c>
      <c r="H1041" s="3"/>
      <c r="I1041" s="3"/>
      <c r="J1041" s="7" t="n">
        <f aca="false">LEN(E1041)-SUMPRODUCT(LEN(E1041)-LEN(SUBSTITUTE(E1041,{"，","。","？","！","、","…","；","：","《","》"," ","“","”","—","（","）","·"},"")))</f>
        <v>54</v>
      </c>
      <c r="K1041" s="23"/>
    </row>
    <row r="1042" customFormat="false" ht="36" hidden="false" customHeight="true" outlineLevel="0" collapsed="false">
      <c r="A1042" s="7" t="s">
        <v>207</v>
      </c>
      <c r="B1042" s="15" t="n">
        <v>8</v>
      </c>
      <c r="C1042" s="7" t="n">
        <v>18</v>
      </c>
      <c r="D1042" s="22" t="s">
        <v>219</v>
      </c>
      <c r="E1042" s="4" t="s">
        <v>1951</v>
      </c>
      <c r="F1042" s="23" t="s">
        <v>1837</v>
      </c>
      <c r="G1042" s="22" t="s">
        <v>40</v>
      </c>
      <c r="H1042" s="3" t="s">
        <v>263</v>
      </c>
      <c r="I1042" s="3"/>
      <c r="J1042" s="7" t="n">
        <f aca="false">LEN(E1042)-SUMPRODUCT(LEN(E1042)-LEN(SUBSTITUTE(E1042,{"，","。","？","！","、","…","；","：","《","》"," ","“","”","—","（","）","·"},"")))</f>
        <v>38</v>
      </c>
      <c r="K1042" s="23"/>
    </row>
    <row r="1043" customFormat="false" ht="36" hidden="false" customHeight="true" outlineLevel="0" collapsed="false">
      <c r="A1043" s="7" t="s">
        <v>207</v>
      </c>
      <c r="B1043" s="15" t="n">
        <v>8</v>
      </c>
      <c r="C1043" s="7" t="n">
        <v>19</v>
      </c>
      <c r="D1043" s="22" t="s">
        <v>222</v>
      </c>
      <c r="E1043" s="4" t="s">
        <v>1952</v>
      </c>
      <c r="F1043" s="23" t="s">
        <v>1953</v>
      </c>
      <c r="G1043" s="22" t="s">
        <v>40</v>
      </c>
      <c r="H1043" s="3"/>
      <c r="I1043" s="4" t="s">
        <v>1954</v>
      </c>
      <c r="J1043" s="7" t="n">
        <f aca="false">LEN(E1043)-SUMPRODUCT(LEN(E1043)-LEN(SUBSTITUTE(E1043,{"，","。","？","！","、","…","；","：","《","》"," ","“","”","—","（","）","·"},"")))</f>
        <v>16</v>
      </c>
      <c r="K1043" s="23"/>
    </row>
    <row r="1044" customFormat="false" ht="36" hidden="false" customHeight="true" outlineLevel="0" collapsed="false">
      <c r="A1044" s="7" t="s">
        <v>207</v>
      </c>
      <c r="B1044" s="15" t="n">
        <v>8</v>
      </c>
      <c r="C1044" s="7" t="n">
        <v>20</v>
      </c>
      <c r="D1044" s="22" t="s">
        <v>219</v>
      </c>
      <c r="E1044" s="4" t="s">
        <v>1955</v>
      </c>
      <c r="F1044" s="23"/>
      <c r="G1044" s="22" t="s">
        <v>40</v>
      </c>
      <c r="H1044" s="3"/>
      <c r="I1044" s="4" t="s">
        <v>1956</v>
      </c>
      <c r="J1044" s="7" t="n">
        <f aca="false">LEN(E1044)-SUMPRODUCT(LEN(E1044)-LEN(SUBSTITUTE(E1044,{"，","。","？","！","、","…","；","：","《","》"," ","“","”","—","（","）","·"},"")))</f>
        <v>30</v>
      </c>
      <c r="K1044" s="23"/>
    </row>
    <row r="1045" customFormat="false" ht="21" hidden="false" customHeight="true" outlineLevel="0" collapsed="false">
      <c r="A1045" s="7" t="s">
        <v>207</v>
      </c>
      <c r="B1045" s="15" t="n">
        <v>8</v>
      </c>
      <c r="C1045" s="7" t="n">
        <v>21</v>
      </c>
      <c r="D1045" s="22" t="s">
        <v>481</v>
      </c>
      <c r="E1045" s="4" t="s">
        <v>1957</v>
      </c>
      <c r="F1045" s="23" t="s">
        <v>1958</v>
      </c>
      <c r="G1045" s="22" t="s">
        <v>42</v>
      </c>
      <c r="H1045" s="3"/>
      <c r="I1045" s="3"/>
      <c r="J1045" s="7" t="n">
        <f aca="false">LEN(E1045)-SUMPRODUCT(LEN(E1045)-LEN(SUBSTITUTE(E1045,{"，","。","？","！","、","…","；","：","《","》"," ","“","”","—","（","）","·"},"")))</f>
        <v>15</v>
      </c>
      <c r="K1045" s="23"/>
    </row>
    <row r="1046" customFormat="false" ht="51" hidden="false" customHeight="true" outlineLevel="0" collapsed="false">
      <c r="A1046" s="7" t="s">
        <v>207</v>
      </c>
      <c r="B1046" s="15" t="n">
        <v>8</v>
      </c>
      <c r="C1046" s="7" t="n">
        <v>22</v>
      </c>
      <c r="D1046" s="22" t="s">
        <v>219</v>
      </c>
      <c r="E1046" s="4" t="s">
        <v>1959</v>
      </c>
      <c r="F1046" s="23" t="s">
        <v>1960</v>
      </c>
      <c r="G1046" s="22" t="s">
        <v>40</v>
      </c>
      <c r="H1046" s="3"/>
      <c r="I1046" s="4" t="s">
        <v>1961</v>
      </c>
      <c r="J1046" s="7" t="n">
        <f aca="false">LEN(E1046)-SUMPRODUCT(LEN(E1046)-LEN(SUBSTITUTE(E1046,{"，","。","？","！","、","…","；","：","《","》"," ","“","”","—","（","）","·"},"")))</f>
        <v>65</v>
      </c>
      <c r="K1046" s="23"/>
    </row>
    <row r="1047" customFormat="false" ht="51" hidden="false" customHeight="true" outlineLevel="0" collapsed="false">
      <c r="A1047" s="7" t="s">
        <v>207</v>
      </c>
      <c r="B1047" s="15" t="n">
        <v>8</v>
      </c>
      <c r="C1047" s="7" t="n">
        <v>23</v>
      </c>
      <c r="D1047" s="22" t="s">
        <v>219</v>
      </c>
      <c r="E1047" s="4" t="s">
        <v>1962</v>
      </c>
      <c r="F1047" s="23"/>
      <c r="G1047" s="22" t="s">
        <v>40</v>
      </c>
      <c r="H1047" s="3"/>
      <c r="I1047" s="3"/>
      <c r="J1047" s="7" t="n">
        <f aca="false">LEN(E1047)-SUMPRODUCT(LEN(E1047)-LEN(SUBSTITUTE(E1047,{"，","。","？","！","、","…","；","：","《","》"," ","“","”","—","（","）","·"},"")))</f>
        <v>58</v>
      </c>
      <c r="K1047" s="23"/>
    </row>
    <row r="1048" customFormat="false" ht="36" hidden="false" customHeight="true" outlineLevel="0" collapsed="false">
      <c r="A1048" s="7" t="s">
        <v>207</v>
      </c>
      <c r="B1048" s="15" t="n">
        <v>8</v>
      </c>
      <c r="C1048" s="7" t="n">
        <v>24</v>
      </c>
      <c r="D1048" s="22" t="s">
        <v>232</v>
      </c>
      <c r="E1048" s="4" t="s">
        <v>1963</v>
      </c>
      <c r="F1048" s="23"/>
      <c r="G1048" s="22" t="s">
        <v>40</v>
      </c>
      <c r="H1048" s="3"/>
      <c r="I1048" s="4" t="s">
        <v>1818</v>
      </c>
      <c r="J1048" s="7" t="n">
        <f aca="false">LEN(E1048)-SUMPRODUCT(LEN(E1048)-LEN(SUBSTITUTE(E1048,{"，","。","？","！","、","…","；","：","《","》"," ","“","”","—","（","）","·"},"")))</f>
        <v>11</v>
      </c>
      <c r="K1048" s="23"/>
    </row>
    <row r="1049" customFormat="false" ht="66" hidden="false" customHeight="true" outlineLevel="0" collapsed="false">
      <c r="A1049" s="7" t="s">
        <v>207</v>
      </c>
      <c r="B1049" s="15" t="n">
        <v>8</v>
      </c>
      <c r="C1049" s="7" t="n">
        <v>25</v>
      </c>
      <c r="D1049" s="22" t="s">
        <v>219</v>
      </c>
      <c r="E1049" s="4" t="s">
        <v>1964</v>
      </c>
      <c r="F1049" s="23"/>
      <c r="G1049" s="22" t="s">
        <v>30</v>
      </c>
      <c r="H1049" s="3" t="s">
        <v>1965</v>
      </c>
      <c r="I1049" s="4" t="s">
        <v>1966</v>
      </c>
      <c r="J1049" s="7" t="n">
        <f aca="false">LEN(E1049)-SUMPRODUCT(LEN(E1049)-LEN(SUBSTITUTE(E1049,{"，","。","？","！","、","…","；","：","《","》"," ","“","”","—","（","）","·"},"")))</f>
        <v>70</v>
      </c>
      <c r="K1049" s="23"/>
    </row>
    <row r="1050" customFormat="false" ht="36" hidden="false" customHeight="true" outlineLevel="0" collapsed="false">
      <c r="A1050" s="7" t="s">
        <v>207</v>
      </c>
      <c r="B1050" s="15" t="n">
        <v>8</v>
      </c>
      <c r="C1050" s="7" t="n">
        <v>26</v>
      </c>
      <c r="D1050" s="22" t="s">
        <v>232</v>
      </c>
      <c r="E1050" s="4" t="s">
        <v>1967</v>
      </c>
      <c r="F1050" s="23"/>
      <c r="G1050" s="22" t="s">
        <v>30</v>
      </c>
      <c r="H1050" s="3"/>
      <c r="I1050" s="4" t="s">
        <v>295</v>
      </c>
      <c r="J1050" s="7" t="n">
        <f aca="false">LEN(E1050)-SUMPRODUCT(LEN(E1050)-LEN(SUBSTITUTE(E1050,{"，","。","？","！","、","…","；","：","《","》"," ","“","”","—","（","）","·"},"")))</f>
        <v>20</v>
      </c>
      <c r="K1050" s="23"/>
    </row>
    <row r="1051" customFormat="false" ht="36" hidden="false" customHeight="true" outlineLevel="0" collapsed="false">
      <c r="A1051" s="7" t="s">
        <v>207</v>
      </c>
      <c r="B1051" s="15" t="n">
        <v>8</v>
      </c>
      <c r="C1051" s="7" t="n">
        <v>27</v>
      </c>
      <c r="D1051" s="22" t="s">
        <v>219</v>
      </c>
      <c r="E1051" s="4" t="s">
        <v>1968</v>
      </c>
      <c r="F1051" s="23"/>
      <c r="G1051" s="22" t="s">
        <v>30</v>
      </c>
      <c r="H1051" s="3"/>
      <c r="I1051" s="3"/>
      <c r="J1051" s="7" t="n">
        <f aca="false">LEN(E1051)-SUMPRODUCT(LEN(E1051)-LEN(SUBSTITUTE(E1051,{"，","。","？","！","、","…","；","：","《","》"," ","“","”","—","（","）","·"},"")))</f>
        <v>19</v>
      </c>
      <c r="K1051" s="23"/>
    </row>
    <row r="1052" customFormat="false" ht="36" hidden="false" customHeight="true" outlineLevel="0" collapsed="false">
      <c r="A1052" s="7" t="s">
        <v>207</v>
      </c>
      <c r="B1052" s="15" t="n">
        <v>8</v>
      </c>
      <c r="C1052" s="7" t="n">
        <v>28</v>
      </c>
      <c r="D1052" s="22" t="s">
        <v>481</v>
      </c>
      <c r="E1052" s="4" t="s">
        <v>1969</v>
      </c>
      <c r="F1052" s="23"/>
      <c r="G1052" s="22" t="s">
        <v>40</v>
      </c>
      <c r="H1052" s="3"/>
      <c r="I1052" s="3"/>
      <c r="J1052" s="7" t="n">
        <f aca="false">LEN(E1052)-SUMPRODUCT(LEN(E1052)-LEN(SUBSTITUTE(E1052,{"，","。","？","！","、","…","；","：","《","》"," ","“","”","—","（","）","·"},"")))</f>
        <v>8</v>
      </c>
      <c r="K1052" s="23"/>
    </row>
    <row r="1053" customFormat="false" ht="36" hidden="false" customHeight="true" outlineLevel="0" collapsed="false">
      <c r="A1053" s="7" t="s">
        <v>207</v>
      </c>
      <c r="B1053" s="15" t="n">
        <v>8</v>
      </c>
      <c r="C1053" s="7" t="n">
        <v>29</v>
      </c>
      <c r="D1053" s="22" t="s">
        <v>219</v>
      </c>
      <c r="E1053" s="4" t="s">
        <v>1970</v>
      </c>
      <c r="F1053" s="23"/>
      <c r="G1053" s="22" t="s">
        <v>40</v>
      </c>
      <c r="H1053" s="3" t="s">
        <v>1971</v>
      </c>
      <c r="I1053" s="4" t="s">
        <v>1972</v>
      </c>
      <c r="J1053" s="7" t="n">
        <f aca="false">LEN(E1053)-SUMPRODUCT(LEN(E1053)-LEN(SUBSTITUTE(E1053,{"，","。","？","！","、","…","；","：","《","》"," ","“","”","—","（","）","·"},"")))</f>
        <v>41</v>
      </c>
      <c r="K1053" s="23"/>
    </row>
    <row r="1054" customFormat="false" ht="36" hidden="false" customHeight="true" outlineLevel="0" collapsed="false">
      <c r="A1054" s="7" t="s">
        <v>207</v>
      </c>
      <c r="B1054" s="15" t="n">
        <v>8</v>
      </c>
      <c r="C1054" s="7" t="n">
        <v>30</v>
      </c>
      <c r="D1054" s="22" t="s">
        <v>222</v>
      </c>
      <c r="E1054" s="4" t="s">
        <v>1973</v>
      </c>
      <c r="F1054" s="23"/>
      <c r="G1054" s="22" t="s">
        <v>40</v>
      </c>
      <c r="H1054" s="3" t="s">
        <v>1974</v>
      </c>
      <c r="I1054" s="3"/>
      <c r="J1054" s="7" t="n">
        <f aca="false">LEN(E1054)-SUMPRODUCT(LEN(E1054)-LEN(SUBSTITUTE(E1054,{"，","。","？","！","、","…","；","：","《","》"," ","“","”","—","（","）","·"},"")))</f>
        <v>9</v>
      </c>
      <c r="K1054" s="23"/>
    </row>
    <row r="1055" customFormat="false" ht="21" hidden="false" customHeight="true" outlineLevel="0" collapsed="false">
      <c r="A1055" s="7" t="s">
        <v>207</v>
      </c>
      <c r="B1055" s="15" t="n">
        <v>8</v>
      </c>
      <c r="C1055" s="7" t="n">
        <v>31</v>
      </c>
      <c r="D1055" s="22" t="s">
        <v>481</v>
      </c>
      <c r="E1055" s="4" t="s">
        <v>1975</v>
      </c>
      <c r="F1055" s="23"/>
      <c r="G1055" s="22" t="s">
        <v>32</v>
      </c>
      <c r="H1055" s="3"/>
      <c r="I1055" s="3"/>
      <c r="J1055" s="7" t="n">
        <f aca="false">LEN(E1055)-SUMPRODUCT(LEN(E1055)-LEN(SUBSTITUTE(E1055,{"，","。","？","！","、","…","；","：","《","》"," ","“","”","—","（","）","·"},"")))</f>
        <v>11</v>
      </c>
      <c r="K1055" s="23"/>
    </row>
    <row r="1056" customFormat="false" ht="36" hidden="false" customHeight="true" outlineLevel="0" collapsed="false">
      <c r="A1056" s="7" t="s">
        <v>207</v>
      </c>
      <c r="B1056" s="15" t="n">
        <v>8</v>
      </c>
      <c r="C1056" s="7" t="n">
        <v>32</v>
      </c>
      <c r="D1056" s="22" t="s">
        <v>219</v>
      </c>
      <c r="E1056" s="4" t="s">
        <v>1976</v>
      </c>
      <c r="F1056" s="23"/>
      <c r="G1056" s="22" t="s">
        <v>32</v>
      </c>
      <c r="H1056" s="3"/>
      <c r="I1056" s="4" t="s">
        <v>1977</v>
      </c>
      <c r="J1056" s="7" t="n">
        <f aca="false">LEN(E1056)-SUMPRODUCT(LEN(E1056)-LEN(SUBSTITUTE(E1056,{"，","。","？","！","、","…","；","：","《","》"," ","“","”","—","（","）","·"},"")))</f>
        <v>41</v>
      </c>
      <c r="K1056" s="23"/>
    </row>
    <row r="1057" customFormat="false" ht="21" hidden="false" customHeight="true" outlineLevel="0" collapsed="false">
      <c r="A1057" s="7" t="s">
        <v>207</v>
      </c>
      <c r="B1057" s="15" t="n">
        <v>8</v>
      </c>
      <c r="C1057" s="7" t="n">
        <v>33</v>
      </c>
      <c r="D1057" s="22" t="s">
        <v>481</v>
      </c>
      <c r="E1057" s="4" t="s">
        <v>1978</v>
      </c>
      <c r="F1057" s="23"/>
      <c r="G1057" s="22" t="s">
        <v>32</v>
      </c>
      <c r="H1057" s="3"/>
      <c r="I1057" s="3"/>
      <c r="J1057" s="7" t="n">
        <f aca="false">LEN(E1057)-SUMPRODUCT(LEN(E1057)-LEN(SUBSTITUTE(E1057,{"，","。","？","！","、","…","；","：","《","》"," ","“","”","—","（","）","·"},"")))</f>
        <v>9</v>
      </c>
      <c r="K1057" s="23"/>
    </row>
    <row r="1058" customFormat="false" ht="51" hidden="false" customHeight="true" outlineLevel="0" collapsed="false">
      <c r="A1058" s="7" t="s">
        <v>207</v>
      </c>
      <c r="B1058" s="15" t="n">
        <v>8</v>
      </c>
      <c r="C1058" s="7" t="n">
        <v>34</v>
      </c>
      <c r="D1058" s="22" t="s">
        <v>219</v>
      </c>
      <c r="E1058" s="4" t="s">
        <v>1979</v>
      </c>
      <c r="F1058" s="23" t="s">
        <v>1868</v>
      </c>
      <c r="G1058" s="22" t="s">
        <v>40</v>
      </c>
      <c r="H1058" s="3" t="s">
        <v>1974</v>
      </c>
      <c r="I1058" s="3"/>
      <c r="J1058" s="7" t="n">
        <f aca="false">LEN(E1058)-SUMPRODUCT(LEN(E1058)-LEN(SUBSTITUTE(E1058,{"，","。","？","！","、","…","；","：","《","》"," ","“","”","—","（","）","·"},"")))</f>
        <v>45</v>
      </c>
      <c r="K1058" s="23"/>
    </row>
    <row r="1059" customFormat="false" ht="21" hidden="false" customHeight="true" outlineLevel="0" collapsed="false">
      <c r="A1059" s="7" t="s">
        <v>207</v>
      </c>
      <c r="B1059" s="15" t="n">
        <v>8</v>
      </c>
      <c r="C1059" s="7" t="n">
        <v>35</v>
      </c>
      <c r="D1059" s="22" t="s">
        <v>232</v>
      </c>
      <c r="E1059" s="4" t="s">
        <v>1980</v>
      </c>
      <c r="F1059" s="23"/>
      <c r="G1059" s="22" t="s">
        <v>42</v>
      </c>
      <c r="H1059" s="3"/>
      <c r="I1059" s="4" t="s">
        <v>1818</v>
      </c>
      <c r="J1059" s="7" t="n">
        <f aca="false">LEN(E1059)-SUMPRODUCT(LEN(E1059)-LEN(SUBSTITUTE(E1059,{"，","。","？","！","、","…","；","：","《","》"," ","“","”","—","（","）","·"},"")))</f>
        <v>8</v>
      </c>
      <c r="K1059" s="23"/>
    </row>
  </sheetData>
  <autoFilter ref="A4:K1059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6" min="4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</cols>
  <sheetData>
    <row r="1" customFormat="false" ht="25.5" hidden="false" customHeight="true" outlineLevel="0" collapsed="false">
      <c r="A1" s="1" t="s">
        <v>1981</v>
      </c>
    </row>
    <row r="2" customFormat="false" ht="21" hidden="false" customHeight="true" outlineLevel="0" collapsed="false">
      <c r="A2" s="13" t="s">
        <v>1982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9.5" hidden="false" customHeight="true" outlineLevel="0" collapsed="false">
      <c r="A3" s="2" t="s">
        <v>1983</v>
      </c>
      <c r="B3" s="11" t="n">
        <v>10</v>
      </c>
    </row>
    <row r="4" customFormat="false" ht="19.5" hidden="false" customHeight="true" outlineLevel="0" collapsed="false">
      <c r="A4" s="2" t="s">
        <v>1984</v>
      </c>
      <c r="B4" s="11" t="n">
        <v>30</v>
      </c>
    </row>
    <row r="5" customFormat="false" ht="19.5" hidden="false" customHeight="true" outlineLevel="0" collapsed="false">
      <c r="A5" s="2" t="s">
        <v>1985</v>
      </c>
      <c r="B5" s="11" t="n">
        <v>45</v>
      </c>
    </row>
    <row r="6" customFormat="false" ht="19.5" hidden="false" customHeight="true" outlineLevel="0" collapsed="false">
      <c r="A6" s="2" t="s">
        <v>1986</v>
      </c>
      <c r="B6" s="11" t="n">
        <v>3</v>
      </c>
    </row>
    <row r="7" customFormat="false" ht="19.5" hidden="false" customHeight="true" outlineLevel="0" collapsed="false">
      <c r="A7" s="2" t="s">
        <v>1987</v>
      </c>
      <c r="B7" s="11" t="n">
        <v>4</v>
      </c>
    </row>
    <row r="8" customFormat="false" ht="19.5" hidden="false" customHeight="true" outlineLevel="0" collapsed="false">
      <c r="A8" s="2" t="s">
        <v>1988</v>
      </c>
      <c r="B8" s="11" t="n">
        <v>6</v>
      </c>
    </row>
    <row r="10" customFormat="false" ht="31.5" hidden="false" customHeight="true" outlineLevel="0" collapsed="false">
      <c r="A10" s="5" t="s">
        <v>81</v>
      </c>
      <c r="B10" s="5" t="s">
        <v>82</v>
      </c>
      <c r="C10" s="5" t="s">
        <v>1989</v>
      </c>
      <c r="D10" s="5" t="s">
        <v>1990</v>
      </c>
      <c r="E10" s="5" t="s">
        <v>87</v>
      </c>
      <c r="F10" s="5" t="s">
        <v>49</v>
      </c>
      <c r="G10" s="5" t="s">
        <v>1991</v>
      </c>
      <c r="H10" s="5" t="s">
        <v>1992</v>
      </c>
      <c r="I10" s="5" t="s">
        <v>1993</v>
      </c>
      <c r="J10" s="5" t="s">
        <v>1994</v>
      </c>
    </row>
    <row r="11" customFormat="false" ht="21" hidden="false" customHeight="true" outlineLevel="0" collapsed="false">
      <c r="A11" s="24" t="n">
        <v>1</v>
      </c>
      <c r="B11" s="4" t="s">
        <v>93</v>
      </c>
      <c r="C11" s="4" t="s">
        <v>1995</v>
      </c>
      <c r="D11" s="12" t="n">
        <f aca="false">COUNTIF(剧本总览!$B$8:$B$31,A11)</f>
        <v>3</v>
      </c>
      <c r="E11" s="12" t="n">
        <f aca="false">SUMIF(剧本总览!$B$8:$B$31,A11,剧本总览!$H$8:$H$31)</f>
        <v>148</v>
      </c>
      <c r="F11" s="12" t="n">
        <f aca="false">SUMIF(剧本总览!$B$8:$B$31,A11,剧本总览!$I$8:$I$31)</f>
        <v>2809</v>
      </c>
      <c r="G11" s="25" t="n">
        <f aca="false">SUMIF(剧本总览!$B$8:$B$31,A11,剧本总览!$J$8:$J$31)</f>
        <v>12.7681818181818</v>
      </c>
      <c r="H11" s="7" t="str">
        <f aca="false">IF(G11&gt;=$B$3,"够","不够")</f>
        <v>够</v>
      </c>
      <c r="I11" s="17" t="n">
        <f aca="false">G11*$B$6</f>
        <v>38.3045454545455</v>
      </c>
      <c r="J11" s="7" t="str">
        <f aca="false">IF(AND(I11&gt;=$B$4,I11&lt;=$B$5),"符合","需调整")</f>
        <v>符合</v>
      </c>
    </row>
    <row r="12" customFormat="false" ht="36" hidden="false" customHeight="true" outlineLevel="0" collapsed="false">
      <c r="A12" s="24" t="n">
        <v>2</v>
      </c>
      <c r="B12" s="4" t="s">
        <v>108</v>
      </c>
      <c r="C12" s="4" t="s">
        <v>1996</v>
      </c>
      <c r="D12" s="12" t="n">
        <f aca="false">COUNTIF(剧本总览!$B$8:$B$31,A12)</f>
        <v>3</v>
      </c>
      <c r="E12" s="12" t="n">
        <f aca="false">SUMIF(剧本总览!$B$8:$B$31,A12,剧本总览!$H$8:$H$31)</f>
        <v>131</v>
      </c>
      <c r="F12" s="12" t="n">
        <f aca="false">SUMIF(剧本总览!$B$8:$B$31,A12,剧本总览!$I$8:$I$31)</f>
        <v>2890</v>
      </c>
      <c r="G12" s="25" t="n">
        <f aca="false">SUMIF(剧本总览!$B$8:$B$31,A12,剧本总览!$J$8:$J$31)</f>
        <v>13.1363636363636</v>
      </c>
      <c r="H12" s="7" t="str">
        <f aca="false">IF(G12&gt;=$B$3,"够","不够")</f>
        <v>够</v>
      </c>
      <c r="I12" s="17" t="n">
        <f aca="false">G12*$B$6</f>
        <v>39.4090909090909</v>
      </c>
      <c r="J12" s="7" t="str">
        <f aca="false">IF(AND(I12&gt;=$B$4,I12&lt;=$B$5),"符合","需调整")</f>
        <v>符合</v>
      </c>
    </row>
    <row r="13" customFormat="false" ht="21" hidden="false" customHeight="true" outlineLevel="0" collapsed="false">
      <c r="A13" s="24" t="n">
        <v>3</v>
      </c>
      <c r="B13" s="4" t="s">
        <v>124</v>
      </c>
      <c r="C13" s="4" t="s">
        <v>1997</v>
      </c>
      <c r="D13" s="12" t="n">
        <f aca="false">COUNTIF(剧本总览!$B$8:$B$31,A13)</f>
        <v>3</v>
      </c>
      <c r="E13" s="12" t="n">
        <f aca="false">SUMIF(剧本总览!$B$8:$B$31,A13,剧本总览!$H$8:$H$31)</f>
        <v>163</v>
      </c>
      <c r="F13" s="12" t="n">
        <f aca="false">SUMIF(剧本总览!$B$8:$B$31,A13,剧本总览!$I$8:$I$31)</f>
        <v>2773</v>
      </c>
      <c r="G13" s="25" t="n">
        <f aca="false">SUMIF(剧本总览!$B$8:$B$31,A13,剧本总览!$J$8:$J$31)</f>
        <v>12.6045454545455</v>
      </c>
      <c r="H13" s="7" t="str">
        <f aca="false">IF(G13&gt;=$B$3,"够","不够")</f>
        <v>够</v>
      </c>
      <c r="I13" s="17" t="n">
        <f aca="false">G13*$B$6</f>
        <v>37.8136363636364</v>
      </c>
      <c r="J13" s="7" t="str">
        <f aca="false">IF(AND(I13&gt;=$B$4,I13&lt;=$B$5),"符合","需调整")</f>
        <v>符合</v>
      </c>
    </row>
    <row r="14" customFormat="false" ht="21" hidden="false" customHeight="true" outlineLevel="0" collapsed="false">
      <c r="A14" s="24" t="n">
        <v>4</v>
      </c>
      <c r="B14" s="4" t="s">
        <v>140</v>
      </c>
      <c r="C14" s="4" t="s">
        <v>1998</v>
      </c>
      <c r="D14" s="12" t="n">
        <f aca="false">COUNTIF(剧本总览!$B$8:$B$31,A14)</f>
        <v>3</v>
      </c>
      <c r="E14" s="12" t="n">
        <f aca="false">SUMIF(剧本总览!$B$8:$B$31,A14,剧本总览!$H$8:$H$31)</f>
        <v>136</v>
      </c>
      <c r="F14" s="12" t="n">
        <f aca="false">SUMIF(剧本总览!$B$8:$B$31,A14,剧本总览!$I$8:$I$31)</f>
        <v>2903</v>
      </c>
      <c r="G14" s="25" t="n">
        <f aca="false">SUMIF(剧本总览!$B$8:$B$31,A14,剧本总览!$J$8:$J$31)</f>
        <v>13.1954545454545</v>
      </c>
      <c r="H14" s="7" t="str">
        <f aca="false">IF(G14&gt;=$B$3,"够","不够")</f>
        <v>够</v>
      </c>
      <c r="I14" s="17" t="n">
        <f aca="false">G14*$B$6</f>
        <v>39.5863636363636</v>
      </c>
      <c r="J14" s="7" t="str">
        <f aca="false">IF(AND(I14&gt;=$B$4,I14&lt;=$B$5),"符合","需调整")</f>
        <v>符合</v>
      </c>
    </row>
    <row r="15" customFormat="false" ht="21" hidden="false" customHeight="true" outlineLevel="0" collapsed="false">
      <c r="A15" s="24" t="n">
        <v>5</v>
      </c>
      <c r="B15" s="4" t="s">
        <v>156</v>
      </c>
      <c r="C15" s="4" t="s">
        <v>47</v>
      </c>
      <c r="D15" s="12" t="n">
        <f aca="false">COUNTIF(剧本总览!$B$8:$B$31,A15)</f>
        <v>3</v>
      </c>
      <c r="E15" s="12" t="n">
        <f aca="false">SUMIF(剧本总览!$B$8:$B$31,A15,剧本总览!$H$8:$H$31)</f>
        <v>119</v>
      </c>
      <c r="F15" s="12" t="n">
        <f aca="false">SUMIF(剧本总览!$B$8:$B$31,A15,剧本总览!$I$8:$I$31)</f>
        <v>2851</v>
      </c>
      <c r="G15" s="25" t="n">
        <f aca="false">SUMIF(剧本总览!$B$8:$B$31,A15,剧本总览!$J$8:$J$31)</f>
        <v>12.9590909090909</v>
      </c>
      <c r="H15" s="7" t="str">
        <f aca="false">IF(G15&gt;=$B$3,"够","不够")</f>
        <v>够</v>
      </c>
      <c r="I15" s="17" t="n">
        <f aca="false">G15*$B$6</f>
        <v>38.8772727272727</v>
      </c>
      <c r="J15" s="7" t="str">
        <f aca="false">IF(AND(I15&gt;=$B$4,I15&lt;=$B$5),"符合","需调整")</f>
        <v>符合</v>
      </c>
    </row>
    <row r="16" customFormat="false" ht="36" hidden="false" customHeight="true" outlineLevel="0" collapsed="false">
      <c r="A16" s="24" t="n">
        <v>6</v>
      </c>
      <c r="B16" s="4" t="s">
        <v>169</v>
      </c>
      <c r="C16" s="3" t="s">
        <v>1999</v>
      </c>
      <c r="D16" s="12" t="n">
        <f aca="false">COUNTIF(剧本总览!$B$8:$B$31,A16)</f>
        <v>3</v>
      </c>
      <c r="E16" s="12" t="n">
        <f aca="false">SUMIF(剧本总览!$B$8:$B$31,A16,剧本总览!$H$8:$H$31)</f>
        <v>125</v>
      </c>
      <c r="F16" s="12" t="n">
        <f aca="false">SUMIF(剧本总览!$B$8:$B$31,A16,剧本总览!$I$8:$I$31)</f>
        <v>2964</v>
      </c>
      <c r="G16" s="25" t="n">
        <f aca="false">SUMIF(剧本总览!$B$8:$B$31,A16,剧本总览!$J$8:$J$31)</f>
        <v>13.4727272727273</v>
      </c>
      <c r="H16" s="7" t="str">
        <f aca="false">IF(G16&gt;=$B$3,"够","不够")</f>
        <v>够</v>
      </c>
      <c r="I16" s="17" t="n">
        <f aca="false">G16*$B$6</f>
        <v>40.4181818181818</v>
      </c>
      <c r="J16" s="7" t="str">
        <f aca="false">IF(AND(I16&gt;=$B$4,I16&lt;=$B$5),"符合","需调整")</f>
        <v>符合</v>
      </c>
    </row>
    <row r="17" customFormat="false" ht="36" hidden="false" customHeight="true" outlineLevel="0" collapsed="false">
      <c r="A17" s="24" t="n">
        <v>7</v>
      </c>
      <c r="B17" s="4" t="s">
        <v>185</v>
      </c>
      <c r="C17" s="3" t="s">
        <v>2000</v>
      </c>
      <c r="D17" s="12" t="n">
        <f aca="false">COUNTIF(剧本总览!$B$8:$B$31,A17)</f>
        <v>3</v>
      </c>
      <c r="E17" s="12" t="n">
        <f aca="false">SUMIF(剧本总览!$B$8:$B$31,A17,剧本总览!$H$8:$H$31)</f>
        <v>124</v>
      </c>
      <c r="F17" s="12" t="n">
        <f aca="false">SUMIF(剧本总览!$B$8:$B$31,A17,剧本总览!$I$8:$I$31)</f>
        <v>2694</v>
      </c>
      <c r="G17" s="25" t="n">
        <f aca="false">SUMIF(剧本总览!$B$8:$B$31,A17,剧本总览!$J$8:$J$31)</f>
        <v>12.2454545454545</v>
      </c>
      <c r="H17" s="7" t="str">
        <f aca="false">IF(G17&gt;=$B$3,"够","不够")</f>
        <v>够</v>
      </c>
      <c r="I17" s="17" t="n">
        <f aca="false">G17*$B$6</f>
        <v>36.7363636363636</v>
      </c>
      <c r="J17" s="7" t="str">
        <f aca="false">IF(AND(I17&gt;=$B$4,I17&lt;=$B$5),"符合","需调整")</f>
        <v>符合</v>
      </c>
    </row>
    <row r="18" customFormat="false" ht="36" hidden="false" customHeight="true" outlineLevel="0" collapsed="false">
      <c r="A18" s="24" t="n">
        <v>8</v>
      </c>
      <c r="B18" s="4" t="s">
        <v>198</v>
      </c>
      <c r="C18" s="4" t="s">
        <v>2001</v>
      </c>
      <c r="D18" s="12" t="n">
        <f aca="false">COUNTIF(剧本总览!$B$8:$B$31,A18)</f>
        <v>3</v>
      </c>
      <c r="E18" s="12" t="n">
        <f aca="false">SUMIF(剧本总览!$B$8:$B$31,A18,剧本总览!$H$8:$H$31)</f>
        <v>109</v>
      </c>
      <c r="F18" s="12" t="n">
        <f aca="false">SUMIF(剧本总览!$B$8:$B$31,A18,剧本总览!$I$8:$I$31)</f>
        <v>2969</v>
      </c>
      <c r="G18" s="25" t="n">
        <f aca="false">SUMIF(剧本总览!$B$8:$B$31,A18,剧本总览!$J$8:$J$31)</f>
        <v>13.4954545454545</v>
      </c>
      <c r="H18" s="7" t="str">
        <f aca="false">IF(G18&gt;=$B$3,"够","不够")</f>
        <v>够</v>
      </c>
      <c r="I18" s="17" t="n">
        <f aca="false">G18*$B$6</f>
        <v>40.4863636363636</v>
      </c>
      <c r="J18" s="7" t="str">
        <f aca="false">IF(AND(I18&gt;=$B$4,I18&lt;=$B$5),"符合","需调整")</f>
        <v>符合</v>
      </c>
    </row>
    <row r="19" customFormat="false" ht="21" hidden="false" customHeight="true" outlineLevel="0" collapsed="false">
      <c r="A19" s="19" t="s">
        <v>2002</v>
      </c>
      <c r="B19" s="26"/>
      <c r="C19" s="26"/>
      <c r="D19" s="19" t="n">
        <f aca="false">SUM(D11:D18)</f>
        <v>24</v>
      </c>
      <c r="E19" s="19" t="n">
        <f aca="false">SUM(E11:E18)</f>
        <v>1055</v>
      </c>
      <c r="F19" s="19" t="n">
        <f aca="false">SUM(F11:F18)</f>
        <v>22853</v>
      </c>
      <c r="G19" s="21" t="n">
        <f aca="false">SUM(G11:G18)</f>
        <v>103.877272727273</v>
      </c>
      <c r="H19" s="26"/>
      <c r="I19" s="21" t="n">
        <f aca="false">SUM(I11:I18)</f>
        <v>311.631818181818</v>
      </c>
      <c r="J19" s="26"/>
    </row>
    <row r="20" customFormat="false" ht="21" hidden="false" customHeight="true" outlineLevel="0" collapsed="false">
      <c r="A20" s="19" t="s">
        <v>2003</v>
      </c>
      <c r="B20" s="26"/>
      <c r="C20" s="26"/>
      <c r="D20" s="26"/>
      <c r="E20" s="26"/>
      <c r="F20" s="26"/>
      <c r="G20" s="26"/>
      <c r="H20" s="26"/>
      <c r="I20" s="21" t="n">
        <f aca="false">I19/60</f>
        <v>5.19386363636364</v>
      </c>
      <c r="J20" s="19" t="str">
        <f aca="false">IF(AND(I20&gt;=$B$7,I20&lt;=$B$8),"符合","需调整")</f>
        <v>符合</v>
      </c>
    </row>
    <row r="22" customFormat="false" ht="15" hidden="false" customHeight="false" outlineLevel="0" collapsed="false">
      <c r="A22" s="8" t="s">
        <v>2004</v>
      </c>
    </row>
    <row r="23" customFormat="false" ht="24" hidden="false" customHeight="true" outlineLevel="0" collapsed="false">
      <c r="A23" s="5" t="s">
        <v>28</v>
      </c>
      <c r="B23" s="27" t="n">
        <v>1</v>
      </c>
      <c r="C23" s="27" t="n">
        <v>2</v>
      </c>
      <c r="D23" s="27" t="n">
        <v>3</v>
      </c>
      <c r="E23" s="27" t="n">
        <v>4</v>
      </c>
      <c r="F23" s="27" t="n">
        <v>5</v>
      </c>
      <c r="G23" s="27" t="n">
        <v>6</v>
      </c>
      <c r="H23" s="27" t="n">
        <v>7</v>
      </c>
      <c r="I23" s="27" t="n">
        <v>8</v>
      </c>
      <c r="J23" s="5" t="s">
        <v>212</v>
      </c>
    </row>
    <row r="24" customFormat="false" ht="19.5" hidden="false" customHeight="true" outlineLevel="0" collapsed="false">
      <c r="A24" s="6" t="s">
        <v>30</v>
      </c>
      <c r="B24" s="12" t="n">
        <f aca="false">COUNTIFS(台词!$B$5:$B$1059,B$23,台词!$G$5:$G$1059,$A24)</f>
        <v>47</v>
      </c>
      <c r="C24" s="12" t="n">
        <f aca="false">COUNTIFS(台词!$B$5:$B$1059,C$23,台词!$G$5:$G$1059,$A24)</f>
        <v>58</v>
      </c>
      <c r="D24" s="12" t="n">
        <f aca="false">COUNTIFS(台词!$B$5:$B$1059,D$23,台词!$G$5:$G$1059,$A24)</f>
        <v>6</v>
      </c>
      <c r="E24" s="12" t="n">
        <f aca="false">COUNTIFS(台词!$B$5:$B$1059,E$23,台词!$G$5:$G$1059,$A24)</f>
        <v>0</v>
      </c>
      <c r="F24" s="12" t="n">
        <f aca="false">COUNTIFS(台词!$B$5:$B$1059,F$23,台词!$G$5:$G$1059,$A24)</f>
        <v>47</v>
      </c>
      <c r="G24" s="12" t="n">
        <f aca="false">COUNTIFS(台词!$B$5:$B$1059,G$23,台词!$G$5:$G$1059,$A24)</f>
        <v>18</v>
      </c>
      <c r="H24" s="12" t="n">
        <f aca="false">COUNTIFS(台词!$B$5:$B$1059,H$23,台词!$G$5:$G$1059,$A24)</f>
        <v>0</v>
      </c>
      <c r="I24" s="12" t="n">
        <f aca="false">COUNTIFS(台词!$B$5:$B$1059,I$23,台词!$G$5:$G$1059,$A24)</f>
        <v>7</v>
      </c>
      <c r="J24" s="6" t="n">
        <f aca="false">SUM(B24:I24)</f>
        <v>183</v>
      </c>
    </row>
    <row r="25" customFormat="false" ht="19.5" hidden="false" customHeight="true" outlineLevel="0" collapsed="false">
      <c r="A25" s="6" t="s">
        <v>32</v>
      </c>
      <c r="B25" s="12" t="n">
        <f aca="false">COUNTIFS(台词!$B$5:$B$1059,B$23,台词!$G$5:$G$1059,$A25)</f>
        <v>8</v>
      </c>
      <c r="C25" s="12" t="n">
        <f aca="false">COUNTIFS(台词!$B$5:$B$1059,C$23,台词!$G$5:$G$1059,$A25)</f>
        <v>40</v>
      </c>
      <c r="D25" s="12" t="n">
        <f aca="false">COUNTIFS(台词!$B$5:$B$1059,D$23,台词!$G$5:$G$1059,$A25)</f>
        <v>10</v>
      </c>
      <c r="E25" s="12" t="n">
        <f aca="false">COUNTIFS(台词!$B$5:$B$1059,E$23,台词!$G$5:$G$1059,$A25)</f>
        <v>88</v>
      </c>
      <c r="F25" s="12" t="n">
        <f aca="false">COUNTIFS(台词!$B$5:$B$1059,F$23,台词!$G$5:$G$1059,$A25)</f>
        <v>34</v>
      </c>
      <c r="G25" s="12" t="n">
        <f aca="false">COUNTIFS(台词!$B$5:$B$1059,G$23,台词!$G$5:$G$1059,$A25)</f>
        <v>9</v>
      </c>
      <c r="H25" s="12" t="n">
        <f aca="false">COUNTIFS(台词!$B$5:$B$1059,H$23,台词!$G$5:$G$1059,$A25)</f>
        <v>0</v>
      </c>
      <c r="I25" s="12" t="n">
        <f aca="false">COUNTIFS(台词!$B$5:$B$1059,I$23,台词!$G$5:$G$1059,$A25)</f>
        <v>19</v>
      </c>
      <c r="J25" s="6" t="n">
        <f aca="false">SUM(B25:I25)</f>
        <v>208</v>
      </c>
    </row>
    <row r="26" customFormat="false" ht="19.5" hidden="false" customHeight="true" outlineLevel="0" collapsed="false">
      <c r="A26" s="6" t="s">
        <v>34</v>
      </c>
      <c r="B26" s="12" t="n">
        <f aca="false">COUNTIFS(台词!$B$5:$B$1059,B$23,台词!$G$5:$G$1059,$A26)</f>
        <v>5</v>
      </c>
      <c r="C26" s="12" t="n">
        <f aca="false">COUNTIFS(台词!$B$5:$B$1059,C$23,台词!$G$5:$G$1059,$A26)</f>
        <v>4</v>
      </c>
      <c r="D26" s="12" t="n">
        <f aca="false">COUNTIFS(台词!$B$5:$B$1059,D$23,台词!$G$5:$G$1059,$A26)</f>
        <v>70</v>
      </c>
      <c r="E26" s="12" t="n">
        <f aca="false">COUNTIFS(台词!$B$5:$B$1059,E$23,台词!$G$5:$G$1059,$A26)</f>
        <v>3</v>
      </c>
      <c r="F26" s="12" t="n">
        <f aca="false">COUNTIFS(台词!$B$5:$B$1059,F$23,台词!$G$5:$G$1059,$A26)</f>
        <v>1</v>
      </c>
      <c r="G26" s="12" t="n">
        <f aca="false">COUNTIFS(台词!$B$5:$B$1059,G$23,台词!$G$5:$G$1059,$A26)</f>
        <v>12</v>
      </c>
      <c r="H26" s="12" t="n">
        <f aca="false">COUNTIFS(台词!$B$5:$B$1059,H$23,台词!$G$5:$G$1059,$A26)</f>
        <v>11</v>
      </c>
      <c r="I26" s="12" t="n">
        <f aca="false">COUNTIFS(台词!$B$5:$B$1059,I$23,台词!$G$5:$G$1059,$A26)</f>
        <v>13</v>
      </c>
      <c r="J26" s="6" t="n">
        <f aca="false">SUM(B26:I26)</f>
        <v>119</v>
      </c>
    </row>
    <row r="27" customFormat="false" ht="19.5" hidden="false" customHeight="true" outlineLevel="0" collapsed="false">
      <c r="A27" s="6" t="s">
        <v>36</v>
      </c>
      <c r="B27" s="12" t="n">
        <f aca="false">COUNTIFS(台词!$B$5:$B$1059,B$23,台词!$G$5:$G$1059,$A27)</f>
        <v>7</v>
      </c>
      <c r="C27" s="12" t="n">
        <f aca="false">COUNTIFS(台词!$B$5:$B$1059,C$23,台词!$G$5:$G$1059,$A27)</f>
        <v>1</v>
      </c>
      <c r="D27" s="12" t="n">
        <f aca="false">COUNTIFS(台词!$B$5:$B$1059,D$23,台词!$G$5:$G$1059,$A27)</f>
        <v>18</v>
      </c>
      <c r="E27" s="12" t="n">
        <f aca="false">COUNTIFS(台词!$B$5:$B$1059,E$23,台词!$G$5:$G$1059,$A27)</f>
        <v>7</v>
      </c>
      <c r="F27" s="12" t="n">
        <f aca="false">COUNTIFS(台词!$B$5:$B$1059,F$23,台词!$G$5:$G$1059,$A27)</f>
        <v>6</v>
      </c>
      <c r="G27" s="12" t="n">
        <f aca="false">COUNTIFS(台词!$B$5:$B$1059,G$23,台词!$G$5:$G$1059,$A27)</f>
        <v>18</v>
      </c>
      <c r="H27" s="12" t="n">
        <f aca="false">COUNTIFS(台词!$B$5:$B$1059,H$23,台词!$G$5:$G$1059,$A27)</f>
        <v>53</v>
      </c>
      <c r="I27" s="12" t="n">
        <f aca="false">COUNTIFS(台词!$B$5:$B$1059,I$23,台词!$G$5:$G$1059,$A27)</f>
        <v>0</v>
      </c>
      <c r="J27" s="6" t="n">
        <f aca="false">SUM(B27:I27)</f>
        <v>110</v>
      </c>
    </row>
    <row r="28" customFormat="false" ht="19.5" hidden="false" customHeight="true" outlineLevel="0" collapsed="false">
      <c r="A28" s="6" t="s">
        <v>38</v>
      </c>
      <c r="B28" s="12" t="n">
        <f aca="false">COUNTIFS(台词!$B$5:$B$1059,B$23,台词!$G$5:$G$1059,$A28)</f>
        <v>1</v>
      </c>
      <c r="C28" s="12" t="n">
        <f aca="false">COUNTIFS(台词!$B$5:$B$1059,C$23,台词!$G$5:$G$1059,$A28)</f>
        <v>1</v>
      </c>
      <c r="D28" s="12" t="n">
        <f aca="false">COUNTIFS(台词!$B$5:$B$1059,D$23,台词!$G$5:$G$1059,$A28)</f>
        <v>1</v>
      </c>
      <c r="E28" s="12" t="n">
        <f aca="false">COUNTIFS(台词!$B$5:$B$1059,E$23,台词!$G$5:$G$1059,$A28)</f>
        <v>1</v>
      </c>
      <c r="F28" s="12" t="n">
        <f aca="false">COUNTIFS(台词!$B$5:$B$1059,F$23,台词!$G$5:$G$1059,$A28)</f>
        <v>2</v>
      </c>
      <c r="G28" s="12" t="n">
        <f aca="false">COUNTIFS(台词!$B$5:$B$1059,G$23,台词!$G$5:$G$1059,$A28)</f>
        <v>35</v>
      </c>
      <c r="H28" s="12" t="n">
        <f aca="false">COUNTIFS(台词!$B$5:$B$1059,H$23,台词!$G$5:$G$1059,$A28)</f>
        <v>0</v>
      </c>
      <c r="I28" s="12" t="n">
        <f aca="false">COUNTIFS(台词!$B$5:$B$1059,I$23,台词!$G$5:$G$1059,$A28)</f>
        <v>0</v>
      </c>
      <c r="J28" s="6" t="n">
        <f aca="false">SUM(B28:I28)</f>
        <v>41</v>
      </c>
    </row>
    <row r="29" customFormat="false" ht="19.5" hidden="false" customHeight="true" outlineLevel="0" collapsed="false">
      <c r="A29" s="6" t="s">
        <v>40</v>
      </c>
      <c r="B29" s="12" t="n">
        <f aca="false">COUNTIFS(台词!$B$5:$B$1059,B$23,台词!$G$5:$G$1059,$A29)</f>
        <v>28</v>
      </c>
      <c r="C29" s="12" t="n">
        <f aca="false">COUNTIFS(台词!$B$5:$B$1059,C$23,台词!$G$5:$G$1059,$A29)</f>
        <v>1</v>
      </c>
      <c r="D29" s="12" t="n">
        <f aca="false">COUNTIFS(台词!$B$5:$B$1059,D$23,台词!$G$5:$G$1059,$A29)</f>
        <v>7</v>
      </c>
      <c r="E29" s="12" t="n">
        <f aca="false">COUNTIFS(台词!$B$5:$B$1059,E$23,台词!$G$5:$G$1059,$A29)</f>
        <v>10</v>
      </c>
      <c r="F29" s="12" t="n">
        <f aca="false">COUNTIFS(台词!$B$5:$B$1059,F$23,台词!$G$5:$G$1059,$A29)</f>
        <v>13</v>
      </c>
      <c r="G29" s="12" t="n">
        <f aca="false">COUNTIFS(台词!$B$5:$B$1059,G$23,台词!$G$5:$G$1059,$A29)</f>
        <v>14</v>
      </c>
      <c r="H29" s="12" t="n">
        <f aca="false">COUNTIFS(台词!$B$5:$B$1059,H$23,台词!$G$5:$G$1059,$A29)</f>
        <v>33</v>
      </c>
      <c r="I29" s="12" t="n">
        <f aca="false">COUNTIFS(台词!$B$5:$B$1059,I$23,台词!$G$5:$G$1059,$A29)</f>
        <v>49</v>
      </c>
      <c r="J29" s="6" t="n">
        <f aca="false">SUM(B29:I29)</f>
        <v>155</v>
      </c>
    </row>
    <row r="30" customFormat="false" ht="19.5" hidden="false" customHeight="true" outlineLevel="0" collapsed="false">
      <c r="A30" s="6" t="s">
        <v>42</v>
      </c>
      <c r="B30" s="12" t="n">
        <f aca="false">COUNTIFS(台词!$B$5:$B$1059,B$23,台词!$G$5:$G$1059,$A30)</f>
        <v>52</v>
      </c>
      <c r="C30" s="12" t="n">
        <f aca="false">COUNTIFS(台词!$B$5:$B$1059,C$23,台词!$G$5:$G$1059,$A30)</f>
        <v>26</v>
      </c>
      <c r="D30" s="12" t="n">
        <f aca="false">COUNTIFS(台词!$B$5:$B$1059,D$23,台词!$G$5:$G$1059,$A30)</f>
        <v>51</v>
      </c>
      <c r="E30" s="12" t="n">
        <f aca="false">COUNTIFS(台词!$B$5:$B$1059,E$23,台词!$G$5:$G$1059,$A30)</f>
        <v>27</v>
      </c>
      <c r="F30" s="12" t="n">
        <f aca="false">COUNTIFS(台词!$B$5:$B$1059,F$23,台词!$G$5:$G$1059,$A30)</f>
        <v>16</v>
      </c>
      <c r="G30" s="12" t="n">
        <f aca="false">COUNTIFS(台词!$B$5:$B$1059,G$23,台词!$G$5:$G$1059,$A30)</f>
        <v>19</v>
      </c>
      <c r="H30" s="12" t="n">
        <f aca="false">COUNTIFS(台词!$B$5:$B$1059,H$23,台词!$G$5:$G$1059,$A30)</f>
        <v>27</v>
      </c>
      <c r="I30" s="12" t="n">
        <f aca="false">COUNTIFS(台词!$B$5:$B$1059,I$23,台词!$G$5:$G$1059,$A30)</f>
        <v>21</v>
      </c>
      <c r="J30" s="6" t="n">
        <f aca="false">SUM(B30:I30)</f>
        <v>239</v>
      </c>
    </row>
    <row r="31" customFormat="false" ht="19.5" hidden="false" customHeight="true" outlineLevel="0" collapsed="false">
      <c r="A31" s="19" t="s">
        <v>212</v>
      </c>
      <c r="B31" s="19" t="n">
        <f aca="false">SUM(B24:B30)</f>
        <v>148</v>
      </c>
      <c r="C31" s="19" t="n">
        <f aca="false">SUM(C24:C30)</f>
        <v>131</v>
      </c>
      <c r="D31" s="19" t="n">
        <f aca="false">SUM(D24:D30)</f>
        <v>163</v>
      </c>
      <c r="E31" s="19" t="n">
        <f aca="false">SUM(E24:E30)</f>
        <v>136</v>
      </c>
      <c r="F31" s="19" t="n">
        <f aca="false">SUM(F24:F30)</f>
        <v>119</v>
      </c>
      <c r="G31" s="19" t="n">
        <f aca="false">SUM(G24:G30)</f>
        <v>125</v>
      </c>
      <c r="H31" s="19" t="n">
        <f aca="false">SUM(H24:H30)</f>
        <v>124</v>
      </c>
      <c r="I31" s="19" t="n">
        <f aca="false">SUM(I24:I30)</f>
        <v>109</v>
      </c>
      <c r="J31" s="19" t="n">
        <f aca="false">SUM(J24:J30)</f>
        <v>1055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2" min="10" style="0" width="10"/>
  </cols>
  <sheetData>
    <row r="1" customFormat="false" ht="25.5" hidden="false" customHeight="true" outlineLevel="0" collapsed="false">
      <c r="A1" s="1" t="s">
        <v>2005</v>
      </c>
    </row>
    <row r="2" customFormat="false" ht="21" hidden="false" customHeight="true" outlineLevel="0" collapsed="false">
      <c r="A2" s="13" t="s">
        <v>2006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customFormat="false" ht="31.5" hidden="false" customHeight="true" outlineLevel="0" collapsed="false">
      <c r="A4" s="5" t="s">
        <v>2007</v>
      </c>
      <c r="B4" s="5" t="s">
        <v>80</v>
      </c>
      <c r="C4" s="5" t="s">
        <v>81</v>
      </c>
      <c r="D4" s="5" t="s">
        <v>9</v>
      </c>
      <c r="E4" s="5" t="s">
        <v>2008</v>
      </c>
      <c r="F4" s="5" t="s">
        <v>11</v>
      </c>
      <c r="G4" s="5" t="s">
        <v>88</v>
      </c>
      <c r="H4" s="5" t="s">
        <v>2009</v>
      </c>
      <c r="I4" s="5" t="s">
        <v>2010</v>
      </c>
      <c r="J4" s="5" t="s">
        <v>2011</v>
      </c>
      <c r="K4" s="5" t="s">
        <v>2012</v>
      </c>
      <c r="L4" s="5" t="s">
        <v>2013</v>
      </c>
    </row>
    <row r="5" customFormat="false" ht="36" hidden="false" customHeight="true" outlineLevel="0" collapsed="false">
      <c r="A5" s="6" t="str">
        <f aca="false">B5&amp;"-"&amp;E5&amp;".wav"</f>
        <v>G1-S1-Q.wav</v>
      </c>
      <c r="B5" s="7" t="s">
        <v>92</v>
      </c>
      <c r="C5" s="15" t="n">
        <v>1</v>
      </c>
      <c r="D5" s="22" t="s">
        <v>12</v>
      </c>
      <c r="E5" s="7" t="s">
        <v>13</v>
      </c>
      <c r="F5" s="23" t="s">
        <v>2014</v>
      </c>
      <c r="G5" s="25" t="n">
        <f aca="false">INDEX(剧本总览!$J$8:$J$31,MATCH(B5,剧本总览!$A$8:$A$31,0))</f>
        <v>4.45909090909091</v>
      </c>
      <c r="H5" s="10"/>
      <c r="I5" s="10"/>
      <c r="J5" s="28"/>
      <c r="K5" s="10" t="s">
        <v>2015</v>
      </c>
      <c r="L5" s="10" t="s">
        <v>2015</v>
      </c>
    </row>
    <row r="6" customFormat="false" ht="36" hidden="false" customHeight="true" outlineLevel="0" collapsed="false">
      <c r="A6" s="6" t="str">
        <f aca="false">B6&amp;"-"&amp;E6&amp;".wav"</f>
        <v>G1-S1-N.wav</v>
      </c>
      <c r="B6" s="7" t="s">
        <v>92</v>
      </c>
      <c r="C6" s="15" t="n">
        <v>1</v>
      </c>
      <c r="D6" s="22" t="s">
        <v>15</v>
      </c>
      <c r="E6" s="7" t="s">
        <v>16</v>
      </c>
      <c r="F6" s="23" t="s">
        <v>17</v>
      </c>
      <c r="G6" s="25" t="n">
        <f aca="false">INDEX(剧本总览!$J$8:$J$31,MATCH(B6,剧本总览!$A$8:$A$31,0))</f>
        <v>4.45909090909091</v>
      </c>
      <c r="H6" s="10"/>
      <c r="I6" s="10"/>
      <c r="J6" s="28"/>
      <c r="K6" s="10" t="s">
        <v>2015</v>
      </c>
      <c r="L6" s="10" t="s">
        <v>2015</v>
      </c>
    </row>
    <row r="7" customFormat="false" ht="36" hidden="false" customHeight="true" outlineLevel="0" collapsed="false">
      <c r="A7" s="6" t="str">
        <f aca="false">B7&amp;"-"&amp;E7&amp;".wav"</f>
        <v>G1-S1-F.wav</v>
      </c>
      <c r="B7" s="7" t="s">
        <v>92</v>
      </c>
      <c r="C7" s="15" t="n">
        <v>1</v>
      </c>
      <c r="D7" s="22" t="s">
        <v>18</v>
      </c>
      <c r="E7" s="7" t="s">
        <v>19</v>
      </c>
      <c r="F7" s="23" t="s">
        <v>2016</v>
      </c>
      <c r="G7" s="25" t="n">
        <f aca="false">INDEX(剧本总览!$J$8:$J$31,MATCH(B7,剧本总览!$A$8:$A$31,0))</f>
        <v>4.45909090909091</v>
      </c>
      <c r="H7" s="10"/>
      <c r="I7" s="10"/>
      <c r="J7" s="28"/>
      <c r="K7" s="10" t="s">
        <v>2015</v>
      </c>
      <c r="L7" s="10" t="s">
        <v>2015</v>
      </c>
    </row>
    <row r="8" customFormat="false" ht="36" hidden="false" customHeight="true" outlineLevel="0" collapsed="false">
      <c r="A8" s="6" t="str">
        <f aca="false">B8&amp;"-"&amp;E8&amp;".wav"</f>
        <v>G1-S2-Q.wav</v>
      </c>
      <c r="B8" s="7" t="s">
        <v>99</v>
      </c>
      <c r="C8" s="15" t="n">
        <v>1</v>
      </c>
      <c r="D8" s="22" t="s">
        <v>12</v>
      </c>
      <c r="E8" s="7" t="s">
        <v>13</v>
      </c>
      <c r="F8" s="23" t="s">
        <v>2014</v>
      </c>
      <c r="G8" s="25" t="n">
        <f aca="false">INDEX(剧本总览!$J$8:$J$31,MATCH(B8,剧本总览!$A$8:$A$31,0))</f>
        <v>4.32272727272727</v>
      </c>
      <c r="H8" s="10"/>
      <c r="I8" s="10"/>
      <c r="J8" s="28"/>
      <c r="K8" s="10" t="s">
        <v>2015</v>
      </c>
      <c r="L8" s="10" t="s">
        <v>2015</v>
      </c>
    </row>
    <row r="9" customFormat="false" ht="36" hidden="false" customHeight="true" outlineLevel="0" collapsed="false">
      <c r="A9" s="6" t="str">
        <f aca="false">B9&amp;"-"&amp;E9&amp;".wav"</f>
        <v>G1-S2-N.wav</v>
      </c>
      <c r="B9" s="7" t="s">
        <v>99</v>
      </c>
      <c r="C9" s="15" t="n">
        <v>1</v>
      </c>
      <c r="D9" s="22" t="s">
        <v>15</v>
      </c>
      <c r="E9" s="7" t="s">
        <v>16</v>
      </c>
      <c r="F9" s="23" t="s">
        <v>17</v>
      </c>
      <c r="G9" s="25" t="n">
        <f aca="false">INDEX(剧本总览!$J$8:$J$31,MATCH(B9,剧本总览!$A$8:$A$31,0))</f>
        <v>4.32272727272727</v>
      </c>
      <c r="H9" s="10"/>
      <c r="I9" s="10"/>
      <c r="J9" s="28"/>
      <c r="K9" s="10" t="s">
        <v>2015</v>
      </c>
      <c r="L9" s="10" t="s">
        <v>2015</v>
      </c>
    </row>
    <row r="10" customFormat="false" ht="36" hidden="false" customHeight="true" outlineLevel="0" collapsed="false">
      <c r="A10" s="6" t="str">
        <f aca="false">B10&amp;"-"&amp;E10&amp;".wav"</f>
        <v>G1-S2-F.wav</v>
      </c>
      <c r="B10" s="7" t="s">
        <v>99</v>
      </c>
      <c r="C10" s="15" t="n">
        <v>1</v>
      </c>
      <c r="D10" s="22" t="s">
        <v>18</v>
      </c>
      <c r="E10" s="7" t="s">
        <v>19</v>
      </c>
      <c r="F10" s="23" t="s">
        <v>2016</v>
      </c>
      <c r="G10" s="25" t="n">
        <f aca="false">INDEX(剧本总览!$J$8:$J$31,MATCH(B10,剧本总览!$A$8:$A$31,0))</f>
        <v>4.32272727272727</v>
      </c>
      <c r="H10" s="10"/>
      <c r="I10" s="10"/>
      <c r="J10" s="28"/>
      <c r="K10" s="10" t="s">
        <v>2015</v>
      </c>
      <c r="L10" s="10" t="s">
        <v>2015</v>
      </c>
    </row>
    <row r="11" customFormat="false" ht="36" hidden="false" customHeight="true" outlineLevel="0" collapsed="false">
      <c r="A11" s="6" t="str">
        <f aca="false">B11&amp;"-"&amp;E11&amp;".wav"</f>
        <v>G1-S3-Q.wav</v>
      </c>
      <c r="B11" s="7" t="s">
        <v>103</v>
      </c>
      <c r="C11" s="15" t="n">
        <v>1</v>
      </c>
      <c r="D11" s="22" t="s">
        <v>12</v>
      </c>
      <c r="E11" s="7" t="s">
        <v>13</v>
      </c>
      <c r="F11" s="23" t="s">
        <v>2014</v>
      </c>
      <c r="G11" s="25" t="n">
        <f aca="false">INDEX(剧本总览!$J$8:$J$31,MATCH(B11,剧本总览!$A$8:$A$31,0))</f>
        <v>3.98636363636364</v>
      </c>
      <c r="H11" s="10"/>
      <c r="I11" s="10"/>
      <c r="J11" s="28"/>
      <c r="K11" s="10" t="s">
        <v>2015</v>
      </c>
      <c r="L11" s="10" t="s">
        <v>2015</v>
      </c>
    </row>
    <row r="12" customFormat="false" ht="36" hidden="false" customHeight="true" outlineLevel="0" collapsed="false">
      <c r="A12" s="6" t="str">
        <f aca="false">B12&amp;"-"&amp;E12&amp;".wav"</f>
        <v>G1-S3-N.wav</v>
      </c>
      <c r="B12" s="7" t="s">
        <v>103</v>
      </c>
      <c r="C12" s="15" t="n">
        <v>1</v>
      </c>
      <c r="D12" s="22" t="s">
        <v>15</v>
      </c>
      <c r="E12" s="7" t="s">
        <v>16</v>
      </c>
      <c r="F12" s="23" t="s">
        <v>17</v>
      </c>
      <c r="G12" s="25" t="n">
        <f aca="false">INDEX(剧本总览!$J$8:$J$31,MATCH(B12,剧本总览!$A$8:$A$31,0))</f>
        <v>3.98636363636364</v>
      </c>
      <c r="H12" s="10"/>
      <c r="I12" s="10"/>
      <c r="J12" s="28"/>
      <c r="K12" s="10" t="s">
        <v>2015</v>
      </c>
      <c r="L12" s="10" t="s">
        <v>2015</v>
      </c>
    </row>
    <row r="13" customFormat="false" ht="36" hidden="false" customHeight="true" outlineLevel="0" collapsed="false">
      <c r="A13" s="6" t="str">
        <f aca="false">B13&amp;"-"&amp;E13&amp;".wav"</f>
        <v>G1-S3-F.wav</v>
      </c>
      <c r="B13" s="7" t="s">
        <v>103</v>
      </c>
      <c r="C13" s="15" t="n">
        <v>1</v>
      </c>
      <c r="D13" s="22" t="s">
        <v>18</v>
      </c>
      <c r="E13" s="7" t="s">
        <v>19</v>
      </c>
      <c r="F13" s="23" t="s">
        <v>2016</v>
      </c>
      <c r="G13" s="25" t="n">
        <f aca="false">INDEX(剧本总览!$J$8:$J$31,MATCH(B13,剧本总览!$A$8:$A$31,0))</f>
        <v>3.98636363636364</v>
      </c>
      <c r="H13" s="10"/>
      <c r="I13" s="10"/>
      <c r="J13" s="28"/>
      <c r="K13" s="10" t="s">
        <v>2015</v>
      </c>
      <c r="L13" s="10" t="s">
        <v>2015</v>
      </c>
    </row>
    <row r="14" customFormat="false" ht="36" hidden="false" customHeight="true" outlineLevel="0" collapsed="false">
      <c r="A14" s="6" t="str">
        <f aca="false">B14&amp;"-"&amp;E14&amp;".wav"</f>
        <v>G2-S1-Q.wav</v>
      </c>
      <c r="B14" s="7" t="s">
        <v>107</v>
      </c>
      <c r="C14" s="15" t="n">
        <v>2</v>
      </c>
      <c r="D14" s="22" t="s">
        <v>12</v>
      </c>
      <c r="E14" s="7" t="s">
        <v>13</v>
      </c>
      <c r="F14" s="23" t="s">
        <v>2014</v>
      </c>
      <c r="G14" s="25" t="n">
        <f aca="false">INDEX(剧本总览!$J$8:$J$31,MATCH(B14,剧本总览!$A$8:$A$31,0))</f>
        <v>4.50909090909091</v>
      </c>
      <c r="H14" s="10"/>
      <c r="I14" s="10"/>
      <c r="J14" s="28"/>
      <c r="K14" s="10" t="s">
        <v>2015</v>
      </c>
      <c r="L14" s="10" t="s">
        <v>2015</v>
      </c>
    </row>
    <row r="15" customFormat="false" ht="36" hidden="false" customHeight="true" outlineLevel="0" collapsed="false">
      <c r="A15" s="6" t="str">
        <f aca="false">B15&amp;"-"&amp;E15&amp;".wav"</f>
        <v>G2-S1-N.wav</v>
      </c>
      <c r="B15" s="7" t="s">
        <v>107</v>
      </c>
      <c r="C15" s="15" t="n">
        <v>2</v>
      </c>
      <c r="D15" s="22" t="s">
        <v>15</v>
      </c>
      <c r="E15" s="7" t="s">
        <v>16</v>
      </c>
      <c r="F15" s="23" t="s">
        <v>17</v>
      </c>
      <c r="G15" s="25" t="n">
        <f aca="false">INDEX(剧本总览!$J$8:$J$31,MATCH(B15,剧本总览!$A$8:$A$31,0))</f>
        <v>4.50909090909091</v>
      </c>
      <c r="H15" s="10"/>
      <c r="I15" s="10"/>
      <c r="J15" s="28"/>
      <c r="K15" s="10" t="s">
        <v>2015</v>
      </c>
      <c r="L15" s="10" t="s">
        <v>2015</v>
      </c>
    </row>
    <row r="16" customFormat="false" ht="36" hidden="false" customHeight="true" outlineLevel="0" collapsed="false">
      <c r="A16" s="6" t="str">
        <f aca="false">B16&amp;"-"&amp;E16&amp;".wav"</f>
        <v>G2-S1-F.wav</v>
      </c>
      <c r="B16" s="7" t="s">
        <v>107</v>
      </c>
      <c r="C16" s="15" t="n">
        <v>2</v>
      </c>
      <c r="D16" s="22" t="s">
        <v>18</v>
      </c>
      <c r="E16" s="7" t="s">
        <v>19</v>
      </c>
      <c r="F16" s="23" t="s">
        <v>2016</v>
      </c>
      <c r="G16" s="25" t="n">
        <f aca="false">INDEX(剧本总览!$J$8:$J$31,MATCH(B16,剧本总览!$A$8:$A$31,0))</f>
        <v>4.50909090909091</v>
      </c>
      <c r="H16" s="10"/>
      <c r="I16" s="10"/>
      <c r="J16" s="28"/>
      <c r="K16" s="10" t="s">
        <v>2015</v>
      </c>
      <c r="L16" s="10" t="s">
        <v>2015</v>
      </c>
    </row>
    <row r="17" customFormat="false" ht="36" hidden="false" customHeight="true" outlineLevel="0" collapsed="false">
      <c r="A17" s="6" t="str">
        <f aca="false">B17&amp;"-"&amp;E17&amp;".wav"</f>
        <v>G2-S2-Q.wav</v>
      </c>
      <c r="B17" s="7" t="s">
        <v>113</v>
      </c>
      <c r="C17" s="15" t="n">
        <v>2</v>
      </c>
      <c r="D17" s="22" t="s">
        <v>12</v>
      </c>
      <c r="E17" s="7" t="s">
        <v>13</v>
      </c>
      <c r="F17" s="23" t="s">
        <v>2014</v>
      </c>
      <c r="G17" s="25" t="n">
        <f aca="false">INDEX(剧本总览!$J$8:$J$31,MATCH(B17,剧本总览!$A$8:$A$31,0))</f>
        <v>4.30454545454546</v>
      </c>
      <c r="H17" s="10"/>
      <c r="I17" s="10"/>
      <c r="J17" s="28"/>
      <c r="K17" s="10" t="s">
        <v>2015</v>
      </c>
      <c r="L17" s="10" t="s">
        <v>2015</v>
      </c>
    </row>
    <row r="18" customFormat="false" ht="36" hidden="false" customHeight="true" outlineLevel="0" collapsed="false">
      <c r="A18" s="6" t="str">
        <f aca="false">B18&amp;"-"&amp;E18&amp;".wav"</f>
        <v>G2-S2-N.wav</v>
      </c>
      <c r="B18" s="7" t="s">
        <v>113</v>
      </c>
      <c r="C18" s="15" t="n">
        <v>2</v>
      </c>
      <c r="D18" s="22" t="s">
        <v>15</v>
      </c>
      <c r="E18" s="7" t="s">
        <v>16</v>
      </c>
      <c r="F18" s="23" t="s">
        <v>17</v>
      </c>
      <c r="G18" s="25" t="n">
        <f aca="false">INDEX(剧本总览!$J$8:$J$31,MATCH(B18,剧本总览!$A$8:$A$31,0))</f>
        <v>4.30454545454546</v>
      </c>
      <c r="H18" s="10"/>
      <c r="I18" s="10"/>
      <c r="J18" s="28"/>
      <c r="K18" s="10" t="s">
        <v>2015</v>
      </c>
      <c r="L18" s="10" t="s">
        <v>2015</v>
      </c>
    </row>
    <row r="19" customFormat="false" ht="36" hidden="false" customHeight="true" outlineLevel="0" collapsed="false">
      <c r="A19" s="6" t="str">
        <f aca="false">B19&amp;"-"&amp;E19&amp;".wav"</f>
        <v>G2-S2-F.wav</v>
      </c>
      <c r="B19" s="7" t="s">
        <v>113</v>
      </c>
      <c r="C19" s="15" t="n">
        <v>2</v>
      </c>
      <c r="D19" s="22" t="s">
        <v>18</v>
      </c>
      <c r="E19" s="7" t="s">
        <v>19</v>
      </c>
      <c r="F19" s="23" t="s">
        <v>2016</v>
      </c>
      <c r="G19" s="25" t="n">
        <f aca="false">INDEX(剧本总览!$J$8:$J$31,MATCH(B19,剧本总览!$A$8:$A$31,0))</f>
        <v>4.30454545454546</v>
      </c>
      <c r="H19" s="10"/>
      <c r="I19" s="10"/>
      <c r="J19" s="28"/>
      <c r="K19" s="10" t="s">
        <v>2015</v>
      </c>
      <c r="L19" s="10" t="s">
        <v>2015</v>
      </c>
    </row>
    <row r="20" customFormat="false" ht="36" hidden="false" customHeight="true" outlineLevel="0" collapsed="false">
      <c r="A20" s="6" t="str">
        <f aca="false">B20&amp;"-"&amp;E20&amp;".wav"</f>
        <v>G2-S3-Q.wav</v>
      </c>
      <c r="B20" s="7" t="s">
        <v>118</v>
      </c>
      <c r="C20" s="15" t="n">
        <v>2</v>
      </c>
      <c r="D20" s="22" t="s">
        <v>12</v>
      </c>
      <c r="E20" s="7" t="s">
        <v>13</v>
      </c>
      <c r="F20" s="23" t="s">
        <v>2014</v>
      </c>
      <c r="G20" s="25" t="n">
        <f aca="false">INDEX(剧本总览!$J$8:$J$31,MATCH(B20,剧本总览!$A$8:$A$31,0))</f>
        <v>4.32272727272727</v>
      </c>
      <c r="H20" s="10"/>
      <c r="I20" s="10"/>
      <c r="J20" s="28"/>
      <c r="K20" s="10" t="s">
        <v>2015</v>
      </c>
      <c r="L20" s="10" t="s">
        <v>2015</v>
      </c>
    </row>
    <row r="21" customFormat="false" ht="36" hidden="false" customHeight="true" outlineLevel="0" collapsed="false">
      <c r="A21" s="6" t="str">
        <f aca="false">B21&amp;"-"&amp;E21&amp;".wav"</f>
        <v>G2-S3-N.wav</v>
      </c>
      <c r="B21" s="7" t="s">
        <v>118</v>
      </c>
      <c r="C21" s="15" t="n">
        <v>2</v>
      </c>
      <c r="D21" s="22" t="s">
        <v>15</v>
      </c>
      <c r="E21" s="7" t="s">
        <v>16</v>
      </c>
      <c r="F21" s="23" t="s">
        <v>17</v>
      </c>
      <c r="G21" s="25" t="n">
        <f aca="false">INDEX(剧本总览!$J$8:$J$31,MATCH(B21,剧本总览!$A$8:$A$31,0))</f>
        <v>4.32272727272727</v>
      </c>
      <c r="H21" s="10"/>
      <c r="I21" s="10"/>
      <c r="J21" s="28"/>
      <c r="K21" s="10" t="s">
        <v>2015</v>
      </c>
      <c r="L21" s="10" t="s">
        <v>2015</v>
      </c>
    </row>
    <row r="22" customFormat="false" ht="36" hidden="false" customHeight="true" outlineLevel="0" collapsed="false">
      <c r="A22" s="6" t="str">
        <f aca="false">B22&amp;"-"&amp;E22&amp;".wav"</f>
        <v>G2-S3-F.wav</v>
      </c>
      <c r="B22" s="7" t="s">
        <v>118</v>
      </c>
      <c r="C22" s="15" t="n">
        <v>2</v>
      </c>
      <c r="D22" s="22" t="s">
        <v>18</v>
      </c>
      <c r="E22" s="7" t="s">
        <v>19</v>
      </c>
      <c r="F22" s="23" t="s">
        <v>2016</v>
      </c>
      <c r="G22" s="25" t="n">
        <f aca="false">INDEX(剧本总览!$J$8:$J$31,MATCH(B22,剧本总览!$A$8:$A$31,0))</f>
        <v>4.32272727272727</v>
      </c>
      <c r="H22" s="10"/>
      <c r="I22" s="10"/>
      <c r="J22" s="28"/>
      <c r="K22" s="10" t="s">
        <v>2015</v>
      </c>
      <c r="L22" s="10" t="s">
        <v>2015</v>
      </c>
    </row>
    <row r="23" customFormat="false" ht="36" hidden="false" customHeight="true" outlineLevel="0" collapsed="false">
      <c r="A23" s="6" t="str">
        <f aca="false">B23&amp;"-"&amp;E23&amp;".wav"</f>
        <v>G3-S1-Q.wav</v>
      </c>
      <c r="B23" s="7" t="s">
        <v>123</v>
      </c>
      <c r="C23" s="15" t="n">
        <v>3</v>
      </c>
      <c r="D23" s="22" t="s">
        <v>12</v>
      </c>
      <c r="E23" s="7" t="s">
        <v>13</v>
      </c>
      <c r="F23" s="23" t="s">
        <v>2014</v>
      </c>
      <c r="G23" s="25" t="n">
        <f aca="false">INDEX(剧本总览!$J$8:$J$31,MATCH(B23,剧本总览!$A$8:$A$31,0))</f>
        <v>4.20454545454545</v>
      </c>
      <c r="H23" s="10"/>
      <c r="I23" s="10"/>
      <c r="J23" s="28"/>
      <c r="K23" s="10" t="s">
        <v>2015</v>
      </c>
      <c r="L23" s="10" t="s">
        <v>2015</v>
      </c>
    </row>
    <row r="24" customFormat="false" ht="36" hidden="false" customHeight="true" outlineLevel="0" collapsed="false">
      <c r="A24" s="6" t="str">
        <f aca="false">B24&amp;"-"&amp;E24&amp;".wav"</f>
        <v>G3-S1-N.wav</v>
      </c>
      <c r="B24" s="7" t="s">
        <v>123</v>
      </c>
      <c r="C24" s="15" t="n">
        <v>3</v>
      </c>
      <c r="D24" s="22" t="s">
        <v>15</v>
      </c>
      <c r="E24" s="7" t="s">
        <v>16</v>
      </c>
      <c r="F24" s="23" t="s">
        <v>17</v>
      </c>
      <c r="G24" s="25" t="n">
        <f aca="false">INDEX(剧本总览!$J$8:$J$31,MATCH(B24,剧本总览!$A$8:$A$31,0))</f>
        <v>4.20454545454545</v>
      </c>
      <c r="H24" s="10"/>
      <c r="I24" s="10"/>
      <c r="J24" s="28"/>
      <c r="K24" s="10" t="s">
        <v>2015</v>
      </c>
      <c r="L24" s="10" t="s">
        <v>2015</v>
      </c>
    </row>
    <row r="25" customFormat="false" ht="36" hidden="false" customHeight="true" outlineLevel="0" collapsed="false">
      <c r="A25" s="6" t="str">
        <f aca="false">B25&amp;"-"&amp;E25&amp;".wav"</f>
        <v>G3-S1-F.wav</v>
      </c>
      <c r="B25" s="7" t="s">
        <v>123</v>
      </c>
      <c r="C25" s="15" t="n">
        <v>3</v>
      </c>
      <c r="D25" s="22" t="s">
        <v>18</v>
      </c>
      <c r="E25" s="7" t="s">
        <v>19</v>
      </c>
      <c r="F25" s="23" t="s">
        <v>2016</v>
      </c>
      <c r="G25" s="25" t="n">
        <f aca="false">INDEX(剧本总览!$J$8:$J$31,MATCH(B25,剧本总览!$A$8:$A$31,0))</f>
        <v>4.20454545454545</v>
      </c>
      <c r="H25" s="10"/>
      <c r="I25" s="10"/>
      <c r="J25" s="28"/>
      <c r="K25" s="10" t="s">
        <v>2015</v>
      </c>
      <c r="L25" s="10" t="s">
        <v>2015</v>
      </c>
    </row>
    <row r="26" customFormat="false" ht="36" hidden="false" customHeight="true" outlineLevel="0" collapsed="false">
      <c r="A26" s="6" t="str">
        <f aca="false">B26&amp;"-"&amp;E26&amp;".wav"</f>
        <v>G3-S2-Q.wav</v>
      </c>
      <c r="B26" s="7" t="s">
        <v>129</v>
      </c>
      <c r="C26" s="15" t="n">
        <v>3</v>
      </c>
      <c r="D26" s="22" t="s">
        <v>12</v>
      </c>
      <c r="E26" s="7" t="s">
        <v>13</v>
      </c>
      <c r="F26" s="23" t="s">
        <v>2014</v>
      </c>
      <c r="G26" s="25" t="n">
        <f aca="false">INDEX(剧本总览!$J$8:$J$31,MATCH(B26,剧本总览!$A$8:$A$31,0))</f>
        <v>3.89090909090909</v>
      </c>
      <c r="H26" s="10"/>
      <c r="I26" s="10"/>
      <c r="J26" s="28"/>
      <c r="K26" s="10" t="s">
        <v>2015</v>
      </c>
      <c r="L26" s="10" t="s">
        <v>2015</v>
      </c>
    </row>
    <row r="27" customFormat="false" ht="36" hidden="false" customHeight="true" outlineLevel="0" collapsed="false">
      <c r="A27" s="6" t="str">
        <f aca="false">B27&amp;"-"&amp;E27&amp;".wav"</f>
        <v>G3-S2-N.wav</v>
      </c>
      <c r="B27" s="7" t="s">
        <v>129</v>
      </c>
      <c r="C27" s="15" t="n">
        <v>3</v>
      </c>
      <c r="D27" s="22" t="s">
        <v>15</v>
      </c>
      <c r="E27" s="7" t="s">
        <v>16</v>
      </c>
      <c r="F27" s="23" t="s">
        <v>17</v>
      </c>
      <c r="G27" s="25" t="n">
        <f aca="false">INDEX(剧本总览!$J$8:$J$31,MATCH(B27,剧本总览!$A$8:$A$31,0))</f>
        <v>3.89090909090909</v>
      </c>
      <c r="H27" s="10"/>
      <c r="I27" s="10"/>
      <c r="J27" s="28"/>
      <c r="K27" s="10" t="s">
        <v>2015</v>
      </c>
      <c r="L27" s="10" t="s">
        <v>2015</v>
      </c>
    </row>
    <row r="28" customFormat="false" ht="36" hidden="false" customHeight="true" outlineLevel="0" collapsed="false">
      <c r="A28" s="6" t="str">
        <f aca="false">B28&amp;"-"&amp;E28&amp;".wav"</f>
        <v>G3-S2-F.wav</v>
      </c>
      <c r="B28" s="7" t="s">
        <v>129</v>
      </c>
      <c r="C28" s="15" t="n">
        <v>3</v>
      </c>
      <c r="D28" s="22" t="s">
        <v>18</v>
      </c>
      <c r="E28" s="7" t="s">
        <v>19</v>
      </c>
      <c r="F28" s="23" t="s">
        <v>2016</v>
      </c>
      <c r="G28" s="25" t="n">
        <f aca="false">INDEX(剧本总览!$J$8:$J$31,MATCH(B28,剧本总览!$A$8:$A$31,0))</f>
        <v>3.89090909090909</v>
      </c>
      <c r="H28" s="10"/>
      <c r="I28" s="10"/>
      <c r="J28" s="28"/>
      <c r="K28" s="10" t="s">
        <v>2015</v>
      </c>
      <c r="L28" s="10" t="s">
        <v>2015</v>
      </c>
    </row>
    <row r="29" customFormat="false" ht="36" hidden="false" customHeight="true" outlineLevel="0" collapsed="false">
      <c r="A29" s="6" t="str">
        <f aca="false">B29&amp;"-"&amp;E29&amp;".wav"</f>
        <v>G3-S3-Q.wav</v>
      </c>
      <c r="B29" s="7" t="s">
        <v>134</v>
      </c>
      <c r="C29" s="15" t="n">
        <v>3</v>
      </c>
      <c r="D29" s="22" t="s">
        <v>12</v>
      </c>
      <c r="E29" s="7" t="s">
        <v>13</v>
      </c>
      <c r="F29" s="23" t="s">
        <v>2014</v>
      </c>
      <c r="G29" s="25" t="n">
        <f aca="false">INDEX(剧本总览!$J$8:$J$31,MATCH(B29,剧本总览!$A$8:$A$31,0))</f>
        <v>4.50909090909091</v>
      </c>
      <c r="H29" s="10"/>
      <c r="I29" s="10"/>
      <c r="J29" s="28"/>
      <c r="K29" s="10" t="s">
        <v>2015</v>
      </c>
      <c r="L29" s="10" t="s">
        <v>2015</v>
      </c>
    </row>
    <row r="30" customFormat="false" ht="36" hidden="false" customHeight="true" outlineLevel="0" collapsed="false">
      <c r="A30" s="6" t="str">
        <f aca="false">B30&amp;"-"&amp;E30&amp;".wav"</f>
        <v>G3-S3-N.wav</v>
      </c>
      <c r="B30" s="7" t="s">
        <v>134</v>
      </c>
      <c r="C30" s="15" t="n">
        <v>3</v>
      </c>
      <c r="D30" s="22" t="s">
        <v>15</v>
      </c>
      <c r="E30" s="7" t="s">
        <v>16</v>
      </c>
      <c r="F30" s="23" t="s">
        <v>17</v>
      </c>
      <c r="G30" s="25" t="n">
        <f aca="false">INDEX(剧本总览!$J$8:$J$31,MATCH(B30,剧本总览!$A$8:$A$31,0))</f>
        <v>4.50909090909091</v>
      </c>
      <c r="H30" s="10"/>
      <c r="I30" s="10"/>
      <c r="J30" s="28"/>
      <c r="K30" s="10" t="s">
        <v>2015</v>
      </c>
      <c r="L30" s="10" t="s">
        <v>2015</v>
      </c>
    </row>
    <row r="31" customFormat="false" ht="36" hidden="false" customHeight="true" outlineLevel="0" collapsed="false">
      <c r="A31" s="6" t="str">
        <f aca="false">B31&amp;"-"&amp;E31&amp;".wav"</f>
        <v>G3-S3-F.wav</v>
      </c>
      <c r="B31" s="7" t="s">
        <v>134</v>
      </c>
      <c r="C31" s="15" t="n">
        <v>3</v>
      </c>
      <c r="D31" s="22" t="s">
        <v>18</v>
      </c>
      <c r="E31" s="7" t="s">
        <v>19</v>
      </c>
      <c r="F31" s="23" t="s">
        <v>2016</v>
      </c>
      <c r="G31" s="25" t="n">
        <f aca="false">INDEX(剧本总览!$J$8:$J$31,MATCH(B31,剧本总览!$A$8:$A$31,0))</f>
        <v>4.50909090909091</v>
      </c>
      <c r="H31" s="10"/>
      <c r="I31" s="10"/>
      <c r="J31" s="28"/>
      <c r="K31" s="10" t="s">
        <v>2015</v>
      </c>
      <c r="L31" s="10" t="s">
        <v>2015</v>
      </c>
    </row>
    <row r="32" customFormat="false" ht="36" hidden="false" customHeight="true" outlineLevel="0" collapsed="false">
      <c r="A32" s="6" t="str">
        <f aca="false">B32&amp;"-"&amp;E32&amp;".wav"</f>
        <v>G4-S1-Q.wav</v>
      </c>
      <c r="B32" s="7" t="s">
        <v>139</v>
      </c>
      <c r="C32" s="15" t="n">
        <v>4</v>
      </c>
      <c r="D32" s="22" t="s">
        <v>12</v>
      </c>
      <c r="E32" s="7" t="s">
        <v>13</v>
      </c>
      <c r="F32" s="23" t="s">
        <v>2014</v>
      </c>
      <c r="G32" s="25" t="n">
        <f aca="false">INDEX(剧本总览!$J$8:$J$31,MATCH(B32,剧本总览!$A$8:$A$31,0))</f>
        <v>4.51363636363636</v>
      </c>
      <c r="H32" s="10"/>
      <c r="I32" s="10"/>
      <c r="J32" s="28"/>
      <c r="K32" s="10" t="s">
        <v>2015</v>
      </c>
      <c r="L32" s="10" t="s">
        <v>2015</v>
      </c>
    </row>
    <row r="33" customFormat="false" ht="36" hidden="false" customHeight="true" outlineLevel="0" collapsed="false">
      <c r="A33" s="6" t="str">
        <f aca="false">B33&amp;"-"&amp;E33&amp;".wav"</f>
        <v>G4-S1-N.wav</v>
      </c>
      <c r="B33" s="7" t="s">
        <v>139</v>
      </c>
      <c r="C33" s="15" t="n">
        <v>4</v>
      </c>
      <c r="D33" s="22" t="s">
        <v>15</v>
      </c>
      <c r="E33" s="7" t="s">
        <v>16</v>
      </c>
      <c r="F33" s="23" t="s">
        <v>17</v>
      </c>
      <c r="G33" s="25" t="n">
        <f aca="false">INDEX(剧本总览!$J$8:$J$31,MATCH(B33,剧本总览!$A$8:$A$31,0))</f>
        <v>4.51363636363636</v>
      </c>
      <c r="H33" s="10"/>
      <c r="I33" s="10"/>
      <c r="J33" s="28"/>
      <c r="K33" s="10" t="s">
        <v>2015</v>
      </c>
      <c r="L33" s="10" t="s">
        <v>2015</v>
      </c>
    </row>
    <row r="34" customFormat="false" ht="36" hidden="false" customHeight="true" outlineLevel="0" collapsed="false">
      <c r="A34" s="6" t="str">
        <f aca="false">B34&amp;"-"&amp;E34&amp;".wav"</f>
        <v>G4-S1-F.wav</v>
      </c>
      <c r="B34" s="7" t="s">
        <v>139</v>
      </c>
      <c r="C34" s="15" t="n">
        <v>4</v>
      </c>
      <c r="D34" s="22" t="s">
        <v>18</v>
      </c>
      <c r="E34" s="7" t="s">
        <v>19</v>
      </c>
      <c r="F34" s="23" t="s">
        <v>2016</v>
      </c>
      <c r="G34" s="25" t="n">
        <f aca="false">INDEX(剧本总览!$J$8:$J$31,MATCH(B34,剧本总览!$A$8:$A$31,0))</f>
        <v>4.51363636363636</v>
      </c>
      <c r="H34" s="10"/>
      <c r="I34" s="10"/>
      <c r="J34" s="28"/>
      <c r="K34" s="10" t="s">
        <v>2015</v>
      </c>
      <c r="L34" s="10" t="s">
        <v>2015</v>
      </c>
    </row>
    <row r="35" customFormat="false" ht="36" hidden="false" customHeight="true" outlineLevel="0" collapsed="false">
      <c r="A35" s="6" t="str">
        <f aca="false">B35&amp;"-"&amp;E35&amp;".wav"</f>
        <v>G4-S2-Q.wav</v>
      </c>
      <c r="B35" s="7" t="s">
        <v>145</v>
      </c>
      <c r="C35" s="15" t="n">
        <v>4</v>
      </c>
      <c r="D35" s="22" t="s">
        <v>12</v>
      </c>
      <c r="E35" s="7" t="s">
        <v>13</v>
      </c>
      <c r="F35" s="23" t="s">
        <v>2014</v>
      </c>
      <c r="G35" s="25" t="n">
        <f aca="false">INDEX(剧本总览!$J$8:$J$31,MATCH(B35,剧本总览!$A$8:$A$31,0))</f>
        <v>4.45909090909091</v>
      </c>
      <c r="H35" s="10"/>
      <c r="I35" s="10"/>
      <c r="J35" s="28"/>
      <c r="K35" s="10" t="s">
        <v>2015</v>
      </c>
      <c r="L35" s="10" t="s">
        <v>2015</v>
      </c>
    </row>
    <row r="36" customFormat="false" ht="36" hidden="false" customHeight="true" outlineLevel="0" collapsed="false">
      <c r="A36" s="6" t="str">
        <f aca="false">B36&amp;"-"&amp;E36&amp;".wav"</f>
        <v>G4-S2-N.wav</v>
      </c>
      <c r="B36" s="7" t="s">
        <v>145</v>
      </c>
      <c r="C36" s="15" t="n">
        <v>4</v>
      </c>
      <c r="D36" s="22" t="s">
        <v>15</v>
      </c>
      <c r="E36" s="7" t="s">
        <v>16</v>
      </c>
      <c r="F36" s="23" t="s">
        <v>17</v>
      </c>
      <c r="G36" s="25" t="n">
        <f aca="false">INDEX(剧本总览!$J$8:$J$31,MATCH(B36,剧本总览!$A$8:$A$31,0))</f>
        <v>4.45909090909091</v>
      </c>
      <c r="H36" s="10"/>
      <c r="I36" s="10"/>
      <c r="J36" s="28"/>
      <c r="K36" s="10" t="s">
        <v>2015</v>
      </c>
      <c r="L36" s="10" t="s">
        <v>2015</v>
      </c>
    </row>
    <row r="37" customFormat="false" ht="36" hidden="false" customHeight="true" outlineLevel="0" collapsed="false">
      <c r="A37" s="6" t="str">
        <f aca="false">B37&amp;"-"&amp;E37&amp;".wav"</f>
        <v>G4-S2-F.wav</v>
      </c>
      <c r="B37" s="7" t="s">
        <v>145</v>
      </c>
      <c r="C37" s="15" t="n">
        <v>4</v>
      </c>
      <c r="D37" s="22" t="s">
        <v>18</v>
      </c>
      <c r="E37" s="7" t="s">
        <v>19</v>
      </c>
      <c r="F37" s="23" t="s">
        <v>2016</v>
      </c>
      <c r="G37" s="25" t="n">
        <f aca="false">INDEX(剧本总览!$J$8:$J$31,MATCH(B37,剧本总览!$A$8:$A$31,0))</f>
        <v>4.45909090909091</v>
      </c>
      <c r="H37" s="10"/>
      <c r="I37" s="10"/>
      <c r="J37" s="28"/>
      <c r="K37" s="10" t="s">
        <v>2015</v>
      </c>
      <c r="L37" s="10" t="s">
        <v>2015</v>
      </c>
    </row>
    <row r="38" customFormat="false" ht="36" hidden="false" customHeight="true" outlineLevel="0" collapsed="false">
      <c r="A38" s="6" t="str">
        <f aca="false">B38&amp;"-"&amp;E38&amp;".wav"</f>
        <v>G4-S3-Q.wav</v>
      </c>
      <c r="B38" s="7" t="s">
        <v>150</v>
      </c>
      <c r="C38" s="15" t="n">
        <v>4</v>
      </c>
      <c r="D38" s="22" t="s">
        <v>12</v>
      </c>
      <c r="E38" s="7" t="s">
        <v>13</v>
      </c>
      <c r="F38" s="23" t="s">
        <v>2014</v>
      </c>
      <c r="G38" s="25" t="n">
        <f aca="false">INDEX(剧本总览!$J$8:$J$31,MATCH(B38,剧本总览!$A$8:$A$31,0))</f>
        <v>4.22272727272727</v>
      </c>
      <c r="H38" s="10"/>
      <c r="I38" s="10"/>
      <c r="J38" s="28"/>
      <c r="K38" s="10" t="s">
        <v>2015</v>
      </c>
      <c r="L38" s="10" t="s">
        <v>2015</v>
      </c>
    </row>
    <row r="39" customFormat="false" ht="36" hidden="false" customHeight="true" outlineLevel="0" collapsed="false">
      <c r="A39" s="6" t="str">
        <f aca="false">B39&amp;"-"&amp;E39&amp;".wav"</f>
        <v>G4-S3-N.wav</v>
      </c>
      <c r="B39" s="7" t="s">
        <v>150</v>
      </c>
      <c r="C39" s="15" t="n">
        <v>4</v>
      </c>
      <c r="D39" s="22" t="s">
        <v>15</v>
      </c>
      <c r="E39" s="7" t="s">
        <v>16</v>
      </c>
      <c r="F39" s="23" t="s">
        <v>17</v>
      </c>
      <c r="G39" s="25" t="n">
        <f aca="false">INDEX(剧本总览!$J$8:$J$31,MATCH(B39,剧本总览!$A$8:$A$31,0))</f>
        <v>4.22272727272727</v>
      </c>
      <c r="H39" s="10"/>
      <c r="I39" s="10"/>
      <c r="J39" s="28"/>
      <c r="K39" s="10" t="s">
        <v>2015</v>
      </c>
      <c r="L39" s="10" t="s">
        <v>2015</v>
      </c>
    </row>
    <row r="40" customFormat="false" ht="36" hidden="false" customHeight="true" outlineLevel="0" collapsed="false">
      <c r="A40" s="6" t="str">
        <f aca="false">B40&amp;"-"&amp;E40&amp;".wav"</f>
        <v>G4-S3-F.wav</v>
      </c>
      <c r="B40" s="7" t="s">
        <v>150</v>
      </c>
      <c r="C40" s="15" t="n">
        <v>4</v>
      </c>
      <c r="D40" s="22" t="s">
        <v>18</v>
      </c>
      <c r="E40" s="7" t="s">
        <v>19</v>
      </c>
      <c r="F40" s="23" t="s">
        <v>2016</v>
      </c>
      <c r="G40" s="25" t="n">
        <f aca="false">INDEX(剧本总览!$J$8:$J$31,MATCH(B40,剧本总览!$A$8:$A$31,0))</f>
        <v>4.22272727272727</v>
      </c>
      <c r="H40" s="10"/>
      <c r="I40" s="10"/>
      <c r="J40" s="28"/>
      <c r="K40" s="10" t="s">
        <v>2015</v>
      </c>
      <c r="L40" s="10" t="s">
        <v>2015</v>
      </c>
    </row>
    <row r="41" customFormat="false" ht="36" hidden="false" customHeight="true" outlineLevel="0" collapsed="false">
      <c r="A41" s="6" t="str">
        <f aca="false">B41&amp;"-"&amp;E41&amp;".wav"</f>
        <v>G5-S1-Q.wav</v>
      </c>
      <c r="B41" s="7" t="s">
        <v>155</v>
      </c>
      <c r="C41" s="15" t="n">
        <v>5</v>
      </c>
      <c r="D41" s="22" t="s">
        <v>12</v>
      </c>
      <c r="E41" s="7" t="s">
        <v>13</v>
      </c>
      <c r="F41" s="23" t="s">
        <v>2014</v>
      </c>
      <c r="G41" s="25" t="n">
        <f aca="false">INDEX(剧本总览!$J$8:$J$31,MATCH(B41,剧本总览!$A$8:$A$31,0))</f>
        <v>4.47727272727273</v>
      </c>
      <c r="H41" s="10"/>
      <c r="I41" s="10"/>
      <c r="J41" s="28"/>
      <c r="K41" s="10" t="s">
        <v>2015</v>
      </c>
      <c r="L41" s="10" t="s">
        <v>2015</v>
      </c>
    </row>
    <row r="42" customFormat="false" ht="36" hidden="false" customHeight="true" outlineLevel="0" collapsed="false">
      <c r="A42" s="6" t="str">
        <f aca="false">B42&amp;"-"&amp;E42&amp;".wav"</f>
        <v>G5-S1-N.wav</v>
      </c>
      <c r="B42" s="7" t="s">
        <v>155</v>
      </c>
      <c r="C42" s="15" t="n">
        <v>5</v>
      </c>
      <c r="D42" s="22" t="s">
        <v>15</v>
      </c>
      <c r="E42" s="7" t="s">
        <v>16</v>
      </c>
      <c r="F42" s="23" t="s">
        <v>17</v>
      </c>
      <c r="G42" s="25" t="n">
        <f aca="false">INDEX(剧本总览!$J$8:$J$31,MATCH(B42,剧本总览!$A$8:$A$31,0))</f>
        <v>4.47727272727273</v>
      </c>
      <c r="H42" s="10"/>
      <c r="I42" s="10"/>
      <c r="J42" s="28"/>
      <c r="K42" s="10" t="s">
        <v>2015</v>
      </c>
      <c r="L42" s="10" t="s">
        <v>2015</v>
      </c>
    </row>
    <row r="43" customFormat="false" ht="36" hidden="false" customHeight="true" outlineLevel="0" collapsed="false">
      <c r="A43" s="6" t="str">
        <f aca="false">B43&amp;"-"&amp;E43&amp;".wav"</f>
        <v>G5-S1-F.wav</v>
      </c>
      <c r="B43" s="7" t="s">
        <v>155</v>
      </c>
      <c r="C43" s="15" t="n">
        <v>5</v>
      </c>
      <c r="D43" s="22" t="s">
        <v>18</v>
      </c>
      <c r="E43" s="7" t="s">
        <v>19</v>
      </c>
      <c r="F43" s="23" t="s">
        <v>2016</v>
      </c>
      <c r="G43" s="25" t="n">
        <f aca="false">INDEX(剧本总览!$J$8:$J$31,MATCH(B43,剧本总览!$A$8:$A$31,0))</f>
        <v>4.47727272727273</v>
      </c>
      <c r="H43" s="10"/>
      <c r="I43" s="10"/>
      <c r="J43" s="28"/>
      <c r="K43" s="10" t="s">
        <v>2015</v>
      </c>
      <c r="L43" s="10" t="s">
        <v>2015</v>
      </c>
    </row>
    <row r="44" customFormat="false" ht="36" hidden="false" customHeight="true" outlineLevel="0" collapsed="false">
      <c r="A44" s="6" t="str">
        <f aca="false">B44&amp;"-"&amp;E44&amp;".wav"</f>
        <v>G5-S2-Q.wav</v>
      </c>
      <c r="B44" s="7" t="s">
        <v>160</v>
      </c>
      <c r="C44" s="15" t="n">
        <v>5</v>
      </c>
      <c r="D44" s="22" t="s">
        <v>12</v>
      </c>
      <c r="E44" s="7" t="s">
        <v>13</v>
      </c>
      <c r="F44" s="23" t="s">
        <v>2014</v>
      </c>
      <c r="G44" s="25" t="n">
        <f aca="false">INDEX(剧本总览!$J$8:$J$31,MATCH(B44,剧本总览!$A$8:$A$31,0))</f>
        <v>4.32272727272727</v>
      </c>
      <c r="H44" s="10"/>
      <c r="I44" s="10"/>
      <c r="J44" s="28"/>
      <c r="K44" s="10" t="s">
        <v>2015</v>
      </c>
      <c r="L44" s="10" t="s">
        <v>2015</v>
      </c>
    </row>
    <row r="45" customFormat="false" ht="36" hidden="false" customHeight="true" outlineLevel="0" collapsed="false">
      <c r="A45" s="6" t="str">
        <f aca="false">B45&amp;"-"&amp;E45&amp;".wav"</f>
        <v>G5-S2-N.wav</v>
      </c>
      <c r="B45" s="7" t="s">
        <v>160</v>
      </c>
      <c r="C45" s="15" t="n">
        <v>5</v>
      </c>
      <c r="D45" s="22" t="s">
        <v>15</v>
      </c>
      <c r="E45" s="7" t="s">
        <v>16</v>
      </c>
      <c r="F45" s="23" t="s">
        <v>17</v>
      </c>
      <c r="G45" s="25" t="n">
        <f aca="false">INDEX(剧本总览!$J$8:$J$31,MATCH(B45,剧本总览!$A$8:$A$31,0))</f>
        <v>4.32272727272727</v>
      </c>
      <c r="H45" s="10"/>
      <c r="I45" s="10"/>
      <c r="J45" s="28"/>
      <c r="K45" s="10" t="s">
        <v>2015</v>
      </c>
      <c r="L45" s="10" t="s">
        <v>2015</v>
      </c>
    </row>
    <row r="46" customFormat="false" ht="36" hidden="false" customHeight="true" outlineLevel="0" collapsed="false">
      <c r="A46" s="6" t="str">
        <f aca="false">B46&amp;"-"&amp;E46&amp;".wav"</f>
        <v>G5-S2-F.wav</v>
      </c>
      <c r="B46" s="7" t="s">
        <v>160</v>
      </c>
      <c r="C46" s="15" t="n">
        <v>5</v>
      </c>
      <c r="D46" s="22" t="s">
        <v>18</v>
      </c>
      <c r="E46" s="7" t="s">
        <v>19</v>
      </c>
      <c r="F46" s="23" t="s">
        <v>2016</v>
      </c>
      <c r="G46" s="25" t="n">
        <f aca="false">INDEX(剧本总览!$J$8:$J$31,MATCH(B46,剧本总览!$A$8:$A$31,0))</f>
        <v>4.32272727272727</v>
      </c>
      <c r="H46" s="10"/>
      <c r="I46" s="10"/>
      <c r="J46" s="28"/>
      <c r="K46" s="10" t="s">
        <v>2015</v>
      </c>
      <c r="L46" s="10" t="s">
        <v>2015</v>
      </c>
    </row>
    <row r="47" customFormat="false" ht="36" hidden="false" customHeight="true" outlineLevel="0" collapsed="false">
      <c r="A47" s="6" t="str">
        <f aca="false">B47&amp;"-"&amp;E47&amp;".wav"</f>
        <v>G5-S3-Q.wav</v>
      </c>
      <c r="B47" s="7" t="s">
        <v>164</v>
      </c>
      <c r="C47" s="15" t="n">
        <v>5</v>
      </c>
      <c r="D47" s="22" t="s">
        <v>12</v>
      </c>
      <c r="E47" s="7" t="s">
        <v>13</v>
      </c>
      <c r="F47" s="23" t="s">
        <v>2014</v>
      </c>
      <c r="G47" s="25" t="n">
        <f aca="false">INDEX(剧本总览!$J$8:$J$31,MATCH(B47,剧本总览!$A$8:$A$31,0))</f>
        <v>4.15909090909091</v>
      </c>
      <c r="H47" s="10"/>
      <c r="I47" s="10"/>
      <c r="J47" s="28"/>
      <c r="K47" s="10" t="s">
        <v>2015</v>
      </c>
      <c r="L47" s="10" t="s">
        <v>2015</v>
      </c>
    </row>
    <row r="48" customFormat="false" ht="36" hidden="false" customHeight="true" outlineLevel="0" collapsed="false">
      <c r="A48" s="6" t="str">
        <f aca="false">B48&amp;"-"&amp;E48&amp;".wav"</f>
        <v>G5-S3-N.wav</v>
      </c>
      <c r="B48" s="7" t="s">
        <v>164</v>
      </c>
      <c r="C48" s="15" t="n">
        <v>5</v>
      </c>
      <c r="D48" s="22" t="s">
        <v>15</v>
      </c>
      <c r="E48" s="7" t="s">
        <v>16</v>
      </c>
      <c r="F48" s="23" t="s">
        <v>17</v>
      </c>
      <c r="G48" s="25" t="n">
        <f aca="false">INDEX(剧本总览!$J$8:$J$31,MATCH(B48,剧本总览!$A$8:$A$31,0))</f>
        <v>4.15909090909091</v>
      </c>
      <c r="H48" s="10"/>
      <c r="I48" s="10"/>
      <c r="J48" s="28"/>
      <c r="K48" s="10" t="s">
        <v>2015</v>
      </c>
      <c r="L48" s="10" t="s">
        <v>2015</v>
      </c>
    </row>
    <row r="49" customFormat="false" ht="36" hidden="false" customHeight="true" outlineLevel="0" collapsed="false">
      <c r="A49" s="6" t="str">
        <f aca="false">B49&amp;"-"&amp;E49&amp;".wav"</f>
        <v>G5-S3-F.wav</v>
      </c>
      <c r="B49" s="7" t="s">
        <v>164</v>
      </c>
      <c r="C49" s="15" t="n">
        <v>5</v>
      </c>
      <c r="D49" s="22" t="s">
        <v>18</v>
      </c>
      <c r="E49" s="7" t="s">
        <v>19</v>
      </c>
      <c r="F49" s="23" t="s">
        <v>2016</v>
      </c>
      <c r="G49" s="25" t="n">
        <f aca="false">INDEX(剧本总览!$J$8:$J$31,MATCH(B49,剧本总览!$A$8:$A$31,0))</f>
        <v>4.15909090909091</v>
      </c>
      <c r="H49" s="10"/>
      <c r="I49" s="10"/>
      <c r="J49" s="28"/>
      <c r="K49" s="10" t="s">
        <v>2015</v>
      </c>
      <c r="L49" s="10" t="s">
        <v>2015</v>
      </c>
    </row>
    <row r="50" customFormat="false" ht="36" hidden="false" customHeight="true" outlineLevel="0" collapsed="false">
      <c r="A50" s="6" t="str">
        <f aca="false">B50&amp;"-"&amp;E50&amp;".wav"</f>
        <v>G6-S1-Q.wav</v>
      </c>
      <c r="B50" s="7" t="s">
        <v>168</v>
      </c>
      <c r="C50" s="15" t="n">
        <v>6</v>
      </c>
      <c r="D50" s="22" t="s">
        <v>12</v>
      </c>
      <c r="E50" s="7" t="s">
        <v>13</v>
      </c>
      <c r="F50" s="23" t="s">
        <v>2014</v>
      </c>
      <c r="G50" s="25" t="n">
        <f aca="false">INDEX(剧本总览!$J$8:$J$31,MATCH(B50,剧本总览!$A$8:$A$31,0))</f>
        <v>4.42727272727273</v>
      </c>
      <c r="H50" s="10"/>
      <c r="I50" s="10"/>
      <c r="J50" s="28"/>
      <c r="K50" s="10" t="s">
        <v>2015</v>
      </c>
      <c r="L50" s="10" t="s">
        <v>2015</v>
      </c>
    </row>
    <row r="51" customFormat="false" ht="36" hidden="false" customHeight="true" outlineLevel="0" collapsed="false">
      <c r="A51" s="6" t="str">
        <f aca="false">B51&amp;"-"&amp;E51&amp;".wav"</f>
        <v>G6-S1-N.wav</v>
      </c>
      <c r="B51" s="7" t="s">
        <v>168</v>
      </c>
      <c r="C51" s="15" t="n">
        <v>6</v>
      </c>
      <c r="D51" s="22" t="s">
        <v>15</v>
      </c>
      <c r="E51" s="7" t="s">
        <v>16</v>
      </c>
      <c r="F51" s="23" t="s">
        <v>17</v>
      </c>
      <c r="G51" s="25" t="n">
        <f aca="false">INDEX(剧本总览!$J$8:$J$31,MATCH(B51,剧本总览!$A$8:$A$31,0))</f>
        <v>4.42727272727273</v>
      </c>
      <c r="H51" s="10"/>
      <c r="I51" s="10"/>
      <c r="J51" s="28"/>
      <c r="K51" s="10" t="s">
        <v>2015</v>
      </c>
      <c r="L51" s="10" t="s">
        <v>2015</v>
      </c>
    </row>
    <row r="52" customFormat="false" ht="36" hidden="false" customHeight="true" outlineLevel="0" collapsed="false">
      <c r="A52" s="6" t="str">
        <f aca="false">B52&amp;"-"&amp;E52&amp;".wav"</f>
        <v>G6-S1-F.wav</v>
      </c>
      <c r="B52" s="7" t="s">
        <v>168</v>
      </c>
      <c r="C52" s="15" t="n">
        <v>6</v>
      </c>
      <c r="D52" s="22" t="s">
        <v>18</v>
      </c>
      <c r="E52" s="7" t="s">
        <v>19</v>
      </c>
      <c r="F52" s="23" t="s">
        <v>2016</v>
      </c>
      <c r="G52" s="25" t="n">
        <f aca="false">INDEX(剧本总览!$J$8:$J$31,MATCH(B52,剧本总览!$A$8:$A$31,0))</f>
        <v>4.42727272727273</v>
      </c>
      <c r="H52" s="10"/>
      <c r="I52" s="10"/>
      <c r="J52" s="28"/>
      <c r="K52" s="10" t="s">
        <v>2015</v>
      </c>
      <c r="L52" s="10" t="s">
        <v>2015</v>
      </c>
    </row>
    <row r="53" customFormat="false" ht="36" hidden="false" customHeight="true" outlineLevel="0" collapsed="false">
      <c r="A53" s="6" t="str">
        <f aca="false">B53&amp;"-"&amp;E53&amp;".wav"</f>
        <v>G6-S2-Q.wav</v>
      </c>
      <c r="B53" s="7" t="s">
        <v>174</v>
      </c>
      <c r="C53" s="15" t="n">
        <v>6</v>
      </c>
      <c r="D53" s="22" t="s">
        <v>12</v>
      </c>
      <c r="E53" s="7" t="s">
        <v>13</v>
      </c>
      <c r="F53" s="23" t="s">
        <v>2014</v>
      </c>
      <c r="G53" s="25" t="n">
        <f aca="false">INDEX(剧本总览!$J$8:$J$31,MATCH(B53,剧本总览!$A$8:$A$31,0))</f>
        <v>4.52272727272727</v>
      </c>
      <c r="H53" s="10"/>
      <c r="I53" s="10"/>
      <c r="J53" s="28"/>
      <c r="K53" s="10" t="s">
        <v>2015</v>
      </c>
      <c r="L53" s="10" t="s">
        <v>2015</v>
      </c>
    </row>
    <row r="54" customFormat="false" ht="36" hidden="false" customHeight="true" outlineLevel="0" collapsed="false">
      <c r="A54" s="6" t="str">
        <f aca="false">B54&amp;"-"&amp;E54&amp;".wav"</f>
        <v>G6-S2-N.wav</v>
      </c>
      <c r="B54" s="7" t="s">
        <v>174</v>
      </c>
      <c r="C54" s="15" t="n">
        <v>6</v>
      </c>
      <c r="D54" s="22" t="s">
        <v>15</v>
      </c>
      <c r="E54" s="7" t="s">
        <v>16</v>
      </c>
      <c r="F54" s="23" t="s">
        <v>17</v>
      </c>
      <c r="G54" s="25" t="n">
        <f aca="false">INDEX(剧本总览!$J$8:$J$31,MATCH(B54,剧本总览!$A$8:$A$31,0))</f>
        <v>4.52272727272727</v>
      </c>
      <c r="H54" s="10"/>
      <c r="I54" s="10"/>
      <c r="J54" s="28"/>
      <c r="K54" s="10" t="s">
        <v>2015</v>
      </c>
      <c r="L54" s="10" t="s">
        <v>2015</v>
      </c>
    </row>
    <row r="55" customFormat="false" ht="36" hidden="false" customHeight="true" outlineLevel="0" collapsed="false">
      <c r="A55" s="6" t="str">
        <f aca="false">B55&amp;"-"&amp;E55&amp;".wav"</f>
        <v>G6-S2-F.wav</v>
      </c>
      <c r="B55" s="7" t="s">
        <v>174</v>
      </c>
      <c r="C55" s="15" t="n">
        <v>6</v>
      </c>
      <c r="D55" s="22" t="s">
        <v>18</v>
      </c>
      <c r="E55" s="7" t="s">
        <v>19</v>
      </c>
      <c r="F55" s="23" t="s">
        <v>2016</v>
      </c>
      <c r="G55" s="25" t="n">
        <f aca="false">INDEX(剧本总览!$J$8:$J$31,MATCH(B55,剧本总览!$A$8:$A$31,0))</f>
        <v>4.52272727272727</v>
      </c>
      <c r="H55" s="10"/>
      <c r="I55" s="10"/>
      <c r="J55" s="28"/>
      <c r="K55" s="10" t="s">
        <v>2015</v>
      </c>
      <c r="L55" s="10" t="s">
        <v>2015</v>
      </c>
    </row>
    <row r="56" customFormat="false" ht="36" hidden="false" customHeight="true" outlineLevel="0" collapsed="false">
      <c r="A56" s="6" t="str">
        <f aca="false">B56&amp;"-"&amp;E56&amp;".wav"</f>
        <v>G6-S3-Q.wav</v>
      </c>
      <c r="B56" s="7" t="s">
        <v>179</v>
      </c>
      <c r="C56" s="15" t="n">
        <v>6</v>
      </c>
      <c r="D56" s="22" t="s">
        <v>12</v>
      </c>
      <c r="E56" s="7" t="s">
        <v>13</v>
      </c>
      <c r="F56" s="23" t="s">
        <v>2014</v>
      </c>
      <c r="G56" s="25" t="n">
        <f aca="false">INDEX(剧本总览!$J$8:$J$31,MATCH(B56,剧本总览!$A$8:$A$31,0))</f>
        <v>4.52272727272727</v>
      </c>
      <c r="H56" s="10"/>
      <c r="I56" s="10"/>
      <c r="J56" s="28"/>
      <c r="K56" s="10" t="s">
        <v>2015</v>
      </c>
      <c r="L56" s="10" t="s">
        <v>2015</v>
      </c>
    </row>
    <row r="57" customFormat="false" ht="36" hidden="false" customHeight="true" outlineLevel="0" collapsed="false">
      <c r="A57" s="6" t="str">
        <f aca="false">B57&amp;"-"&amp;E57&amp;".wav"</f>
        <v>G6-S3-N.wav</v>
      </c>
      <c r="B57" s="7" t="s">
        <v>179</v>
      </c>
      <c r="C57" s="15" t="n">
        <v>6</v>
      </c>
      <c r="D57" s="22" t="s">
        <v>15</v>
      </c>
      <c r="E57" s="7" t="s">
        <v>16</v>
      </c>
      <c r="F57" s="23" t="s">
        <v>17</v>
      </c>
      <c r="G57" s="25" t="n">
        <f aca="false">INDEX(剧本总览!$J$8:$J$31,MATCH(B57,剧本总览!$A$8:$A$31,0))</f>
        <v>4.52272727272727</v>
      </c>
      <c r="H57" s="10"/>
      <c r="I57" s="10"/>
      <c r="J57" s="28"/>
      <c r="K57" s="10" t="s">
        <v>2015</v>
      </c>
      <c r="L57" s="10" t="s">
        <v>2015</v>
      </c>
    </row>
    <row r="58" customFormat="false" ht="36" hidden="false" customHeight="true" outlineLevel="0" collapsed="false">
      <c r="A58" s="6" t="str">
        <f aca="false">B58&amp;"-"&amp;E58&amp;".wav"</f>
        <v>G6-S3-F.wav</v>
      </c>
      <c r="B58" s="7" t="s">
        <v>179</v>
      </c>
      <c r="C58" s="15" t="n">
        <v>6</v>
      </c>
      <c r="D58" s="22" t="s">
        <v>18</v>
      </c>
      <c r="E58" s="7" t="s">
        <v>19</v>
      </c>
      <c r="F58" s="23" t="s">
        <v>2016</v>
      </c>
      <c r="G58" s="25" t="n">
        <f aca="false">INDEX(剧本总览!$J$8:$J$31,MATCH(B58,剧本总览!$A$8:$A$31,0))</f>
        <v>4.52272727272727</v>
      </c>
      <c r="H58" s="10"/>
      <c r="I58" s="10"/>
      <c r="J58" s="28"/>
      <c r="K58" s="10" t="s">
        <v>2015</v>
      </c>
      <c r="L58" s="10" t="s">
        <v>2015</v>
      </c>
    </row>
    <row r="59" customFormat="false" ht="36" hidden="false" customHeight="true" outlineLevel="0" collapsed="false">
      <c r="A59" s="6" t="str">
        <f aca="false">B59&amp;"-"&amp;E59&amp;".wav"</f>
        <v>G7-S1-Q.wav</v>
      </c>
      <c r="B59" s="7" t="s">
        <v>184</v>
      </c>
      <c r="C59" s="15" t="n">
        <v>7</v>
      </c>
      <c r="D59" s="22" t="s">
        <v>12</v>
      </c>
      <c r="E59" s="7" t="s">
        <v>13</v>
      </c>
      <c r="F59" s="23" t="s">
        <v>2014</v>
      </c>
      <c r="G59" s="25" t="n">
        <f aca="false">INDEX(剧本总览!$J$8:$J$31,MATCH(B59,剧本总览!$A$8:$A$31,0))</f>
        <v>4.32727272727273</v>
      </c>
      <c r="H59" s="10"/>
      <c r="I59" s="10"/>
      <c r="J59" s="28"/>
      <c r="K59" s="10" t="s">
        <v>2015</v>
      </c>
      <c r="L59" s="10" t="s">
        <v>2015</v>
      </c>
    </row>
    <row r="60" customFormat="false" ht="36" hidden="false" customHeight="true" outlineLevel="0" collapsed="false">
      <c r="A60" s="6" t="str">
        <f aca="false">B60&amp;"-"&amp;E60&amp;".wav"</f>
        <v>G7-S1-N.wav</v>
      </c>
      <c r="B60" s="7" t="s">
        <v>184</v>
      </c>
      <c r="C60" s="15" t="n">
        <v>7</v>
      </c>
      <c r="D60" s="22" t="s">
        <v>15</v>
      </c>
      <c r="E60" s="7" t="s">
        <v>16</v>
      </c>
      <c r="F60" s="23" t="s">
        <v>17</v>
      </c>
      <c r="G60" s="25" t="n">
        <f aca="false">INDEX(剧本总览!$J$8:$J$31,MATCH(B60,剧本总览!$A$8:$A$31,0))</f>
        <v>4.32727272727273</v>
      </c>
      <c r="H60" s="10"/>
      <c r="I60" s="10"/>
      <c r="J60" s="28"/>
      <c r="K60" s="10" t="s">
        <v>2015</v>
      </c>
      <c r="L60" s="10" t="s">
        <v>2015</v>
      </c>
    </row>
    <row r="61" customFormat="false" ht="36" hidden="false" customHeight="true" outlineLevel="0" collapsed="false">
      <c r="A61" s="6" t="str">
        <f aca="false">B61&amp;"-"&amp;E61&amp;".wav"</f>
        <v>G7-S1-F.wav</v>
      </c>
      <c r="B61" s="7" t="s">
        <v>184</v>
      </c>
      <c r="C61" s="15" t="n">
        <v>7</v>
      </c>
      <c r="D61" s="22" t="s">
        <v>18</v>
      </c>
      <c r="E61" s="7" t="s">
        <v>19</v>
      </c>
      <c r="F61" s="23" t="s">
        <v>2016</v>
      </c>
      <c r="G61" s="25" t="n">
        <f aca="false">INDEX(剧本总览!$J$8:$J$31,MATCH(B61,剧本总览!$A$8:$A$31,0))</f>
        <v>4.32727272727273</v>
      </c>
      <c r="H61" s="10"/>
      <c r="I61" s="10"/>
      <c r="J61" s="28"/>
      <c r="K61" s="10" t="s">
        <v>2015</v>
      </c>
      <c r="L61" s="10" t="s">
        <v>2015</v>
      </c>
    </row>
    <row r="62" customFormat="false" ht="36" hidden="false" customHeight="true" outlineLevel="0" collapsed="false">
      <c r="A62" s="6" t="str">
        <f aca="false">B62&amp;"-"&amp;E62&amp;".wav"</f>
        <v>G7-S2-Q.wav</v>
      </c>
      <c r="B62" s="7" t="s">
        <v>189</v>
      </c>
      <c r="C62" s="15" t="n">
        <v>7</v>
      </c>
      <c r="D62" s="22" t="s">
        <v>12</v>
      </c>
      <c r="E62" s="7" t="s">
        <v>13</v>
      </c>
      <c r="F62" s="23" t="s">
        <v>2014</v>
      </c>
      <c r="G62" s="25" t="n">
        <f aca="false">INDEX(剧本总览!$J$8:$J$31,MATCH(B62,剧本总览!$A$8:$A$31,0))</f>
        <v>4.01363636363636</v>
      </c>
      <c r="H62" s="10"/>
      <c r="I62" s="10"/>
      <c r="J62" s="28"/>
      <c r="K62" s="10" t="s">
        <v>2015</v>
      </c>
      <c r="L62" s="10" t="s">
        <v>2015</v>
      </c>
    </row>
    <row r="63" customFormat="false" ht="36" hidden="false" customHeight="true" outlineLevel="0" collapsed="false">
      <c r="A63" s="6" t="str">
        <f aca="false">B63&amp;"-"&amp;E63&amp;".wav"</f>
        <v>G7-S2-N.wav</v>
      </c>
      <c r="B63" s="7" t="s">
        <v>189</v>
      </c>
      <c r="C63" s="15" t="n">
        <v>7</v>
      </c>
      <c r="D63" s="22" t="s">
        <v>15</v>
      </c>
      <c r="E63" s="7" t="s">
        <v>16</v>
      </c>
      <c r="F63" s="23" t="s">
        <v>17</v>
      </c>
      <c r="G63" s="25" t="n">
        <f aca="false">INDEX(剧本总览!$J$8:$J$31,MATCH(B63,剧本总览!$A$8:$A$31,0))</f>
        <v>4.01363636363636</v>
      </c>
      <c r="H63" s="10"/>
      <c r="I63" s="10"/>
      <c r="J63" s="28"/>
      <c r="K63" s="10" t="s">
        <v>2015</v>
      </c>
      <c r="L63" s="10" t="s">
        <v>2015</v>
      </c>
    </row>
    <row r="64" customFormat="false" ht="36" hidden="false" customHeight="true" outlineLevel="0" collapsed="false">
      <c r="A64" s="6" t="str">
        <f aca="false">B64&amp;"-"&amp;E64&amp;".wav"</f>
        <v>G7-S2-F.wav</v>
      </c>
      <c r="B64" s="7" t="s">
        <v>189</v>
      </c>
      <c r="C64" s="15" t="n">
        <v>7</v>
      </c>
      <c r="D64" s="22" t="s">
        <v>18</v>
      </c>
      <c r="E64" s="7" t="s">
        <v>19</v>
      </c>
      <c r="F64" s="23" t="s">
        <v>2016</v>
      </c>
      <c r="G64" s="25" t="n">
        <f aca="false">INDEX(剧本总览!$J$8:$J$31,MATCH(B64,剧本总览!$A$8:$A$31,0))</f>
        <v>4.01363636363636</v>
      </c>
      <c r="H64" s="10"/>
      <c r="I64" s="10"/>
      <c r="J64" s="28"/>
      <c r="K64" s="10" t="s">
        <v>2015</v>
      </c>
      <c r="L64" s="10" t="s">
        <v>2015</v>
      </c>
    </row>
    <row r="65" customFormat="false" ht="36" hidden="false" customHeight="true" outlineLevel="0" collapsed="false">
      <c r="A65" s="6" t="str">
        <f aca="false">B65&amp;"-"&amp;E65&amp;".wav"</f>
        <v>G7-S3-Q.wav</v>
      </c>
      <c r="B65" s="7" t="s">
        <v>193</v>
      </c>
      <c r="C65" s="15" t="n">
        <v>7</v>
      </c>
      <c r="D65" s="22" t="s">
        <v>12</v>
      </c>
      <c r="E65" s="7" t="s">
        <v>13</v>
      </c>
      <c r="F65" s="23" t="s">
        <v>2014</v>
      </c>
      <c r="G65" s="25" t="n">
        <f aca="false">INDEX(剧本总览!$J$8:$J$31,MATCH(B65,剧本总览!$A$8:$A$31,0))</f>
        <v>3.90454545454545</v>
      </c>
      <c r="H65" s="10"/>
      <c r="I65" s="10"/>
      <c r="J65" s="28"/>
      <c r="K65" s="10" t="s">
        <v>2015</v>
      </c>
      <c r="L65" s="10" t="s">
        <v>2015</v>
      </c>
    </row>
    <row r="66" customFormat="false" ht="36" hidden="false" customHeight="true" outlineLevel="0" collapsed="false">
      <c r="A66" s="6" t="str">
        <f aca="false">B66&amp;"-"&amp;E66&amp;".wav"</f>
        <v>G7-S3-N.wav</v>
      </c>
      <c r="B66" s="7" t="s">
        <v>193</v>
      </c>
      <c r="C66" s="15" t="n">
        <v>7</v>
      </c>
      <c r="D66" s="22" t="s">
        <v>15</v>
      </c>
      <c r="E66" s="7" t="s">
        <v>16</v>
      </c>
      <c r="F66" s="23" t="s">
        <v>17</v>
      </c>
      <c r="G66" s="25" t="n">
        <f aca="false">INDEX(剧本总览!$J$8:$J$31,MATCH(B66,剧本总览!$A$8:$A$31,0))</f>
        <v>3.90454545454545</v>
      </c>
      <c r="H66" s="10"/>
      <c r="I66" s="10"/>
      <c r="J66" s="28"/>
      <c r="K66" s="10" t="s">
        <v>2015</v>
      </c>
      <c r="L66" s="10" t="s">
        <v>2015</v>
      </c>
    </row>
    <row r="67" customFormat="false" ht="36" hidden="false" customHeight="true" outlineLevel="0" collapsed="false">
      <c r="A67" s="6" t="str">
        <f aca="false">B67&amp;"-"&amp;E67&amp;".wav"</f>
        <v>G7-S3-F.wav</v>
      </c>
      <c r="B67" s="7" t="s">
        <v>193</v>
      </c>
      <c r="C67" s="15" t="n">
        <v>7</v>
      </c>
      <c r="D67" s="22" t="s">
        <v>18</v>
      </c>
      <c r="E67" s="7" t="s">
        <v>19</v>
      </c>
      <c r="F67" s="23" t="s">
        <v>2016</v>
      </c>
      <c r="G67" s="25" t="n">
        <f aca="false">INDEX(剧本总览!$J$8:$J$31,MATCH(B67,剧本总览!$A$8:$A$31,0))</f>
        <v>3.90454545454545</v>
      </c>
      <c r="H67" s="10"/>
      <c r="I67" s="10"/>
      <c r="J67" s="28"/>
      <c r="K67" s="10" t="s">
        <v>2015</v>
      </c>
      <c r="L67" s="10" t="s">
        <v>2015</v>
      </c>
    </row>
    <row r="68" customFormat="false" ht="36" hidden="false" customHeight="true" outlineLevel="0" collapsed="false">
      <c r="A68" s="6" t="str">
        <f aca="false">B68&amp;"-"&amp;E68&amp;".wav"</f>
        <v>G8-S1-Q.wav</v>
      </c>
      <c r="B68" s="7" t="s">
        <v>197</v>
      </c>
      <c r="C68" s="15" t="n">
        <v>8</v>
      </c>
      <c r="D68" s="22" t="s">
        <v>12</v>
      </c>
      <c r="E68" s="7" t="s">
        <v>13</v>
      </c>
      <c r="F68" s="23" t="s">
        <v>2014</v>
      </c>
      <c r="G68" s="25" t="n">
        <f aca="false">INDEX(剧本总览!$J$8:$J$31,MATCH(B68,剧本总览!$A$8:$A$31,0))</f>
        <v>4.46818181818182</v>
      </c>
      <c r="H68" s="10"/>
      <c r="I68" s="10"/>
      <c r="J68" s="28"/>
      <c r="K68" s="10" t="s">
        <v>2015</v>
      </c>
      <c r="L68" s="10" t="s">
        <v>2015</v>
      </c>
    </row>
    <row r="69" customFormat="false" ht="36" hidden="false" customHeight="true" outlineLevel="0" collapsed="false">
      <c r="A69" s="6" t="str">
        <f aca="false">B69&amp;"-"&amp;E69&amp;".wav"</f>
        <v>G8-S1-N.wav</v>
      </c>
      <c r="B69" s="7" t="s">
        <v>197</v>
      </c>
      <c r="C69" s="15" t="n">
        <v>8</v>
      </c>
      <c r="D69" s="22" t="s">
        <v>15</v>
      </c>
      <c r="E69" s="7" t="s">
        <v>16</v>
      </c>
      <c r="F69" s="23" t="s">
        <v>17</v>
      </c>
      <c r="G69" s="25" t="n">
        <f aca="false">INDEX(剧本总览!$J$8:$J$31,MATCH(B69,剧本总览!$A$8:$A$31,0))</f>
        <v>4.46818181818182</v>
      </c>
      <c r="H69" s="10"/>
      <c r="I69" s="10"/>
      <c r="J69" s="28"/>
      <c r="K69" s="10" t="s">
        <v>2015</v>
      </c>
      <c r="L69" s="10" t="s">
        <v>2015</v>
      </c>
    </row>
    <row r="70" customFormat="false" ht="36" hidden="false" customHeight="true" outlineLevel="0" collapsed="false">
      <c r="A70" s="6" t="str">
        <f aca="false">B70&amp;"-"&amp;E70&amp;".wav"</f>
        <v>G8-S1-F.wav</v>
      </c>
      <c r="B70" s="7" t="s">
        <v>197</v>
      </c>
      <c r="C70" s="15" t="n">
        <v>8</v>
      </c>
      <c r="D70" s="22" t="s">
        <v>18</v>
      </c>
      <c r="E70" s="7" t="s">
        <v>19</v>
      </c>
      <c r="F70" s="23" t="s">
        <v>2016</v>
      </c>
      <c r="G70" s="25" t="n">
        <f aca="false">INDEX(剧本总览!$J$8:$J$31,MATCH(B70,剧本总览!$A$8:$A$31,0))</f>
        <v>4.46818181818182</v>
      </c>
      <c r="H70" s="10"/>
      <c r="I70" s="10"/>
      <c r="J70" s="28"/>
      <c r="K70" s="10" t="s">
        <v>2015</v>
      </c>
      <c r="L70" s="10" t="s">
        <v>2015</v>
      </c>
    </row>
    <row r="71" customFormat="false" ht="36" hidden="false" customHeight="true" outlineLevel="0" collapsed="false">
      <c r="A71" s="6" t="str">
        <f aca="false">B71&amp;"-"&amp;E71&amp;".wav"</f>
        <v>G8-S2-Q.wav</v>
      </c>
      <c r="B71" s="7" t="s">
        <v>202</v>
      </c>
      <c r="C71" s="15" t="n">
        <v>8</v>
      </c>
      <c r="D71" s="22" t="s">
        <v>12</v>
      </c>
      <c r="E71" s="7" t="s">
        <v>13</v>
      </c>
      <c r="F71" s="23" t="s">
        <v>2014</v>
      </c>
      <c r="G71" s="25" t="n">
        <f aca="false">INDEX(剧本总览!$J$8:$J$31,MATCH(B71,剧本总览!$A$8:$A$31,0))</f>
        <v>4.50909090909091</v>
      </c>
      <c r="H71" s="10"/>
      <c r="I71" s="10"/>
      <c r="J71" s="28"/>
      <c r="K71" s="10" t="s">
        <v>2015</v>
      </c>
      <c r="L71" s="10" t="s">
        <v>2015</v>
      </c>
    </row>
    <row r="72" customFormat="false" ht="36" hidden="false" customHeight="true" outlineLevel="0" collapsed="false">
      <c r="A72" s="6" t="str">
        <f aca="false">B72&amp;"-"&amp;E72&amp;".wav"</f>
        <v>G8-S2-N.wav</v>
      </c>
      <c r="B72" s="7" t="s">
        <v>202</v>
      </c>
      <c r="C72" s="15" t="n">
        <v>8</v>
      </c>
      <c r="D72" s="22" t="s">
        <v>15</v>
      </c>
      <c r="E72" s="7" t="s">
        <v>16</v>
      </c>
      <c r="F72" s="23" t="s">
        <v>17</v>
      </c>
      <c r="G72" s="25" t="n">
        <f aca="false">INDEX(剧本总览!$J$8:$J$31,MATCH(B72,剧本总览!$A$8:$A$31,0))</f>
        <v>4.50909090909091</v>
      </c>
      <c r="H72" s="10"/>
      <c r="I72" s="10"/>
      <c r="J72" s="28"/>
      <c r="K72" s="10" t="s">
        <v>2015</v>
      </c>
      <c r="L72" s="10" t="s">
        <v>2015</v>
      </c>
    </row>
    <row r="73" customFormat="false" ht="36" hidden="false" customHeight="true" outlineLevel="0" collapsed="false">
      <c r="A73" s="6" t="str">
        <f aca="false">B73&amp;"-"&amp;E73&amp;".wav"</f>
        <v>G8-S2-F.wav</v>
      </c>
      <c r="B73" s="7" t="s">
        <v>202</v>
      </c>
      <c r="C73" s="15" t="n">
        <v>8</v>
      </c>
      <c r="D73" s="22" t="s">
        <v>18</v>
      </c>
      <c r="E73" s="7" t="s">
        <v>19</v>
      </c>
      <c r="F73" s="23" t="s">
        <v>2016</v>
      </c>
      <c r="G73" s="25" t="n">
        <f aca="false">INDEX(剧本总览!$J$8:$J$31,MATCH(B73,剧本总览!$A$8:$A$31,0))</f>
        <v>4.50909090909091</v>
      </c>
      <c r="H73" s="10"/>
      <c r="I73" s="10"/>
      <c r="J73" s="28"/>
      <c r="K73" s="10" t="s">
        <v>2015</v>
      </c>
      <c r="L73" s="10" t="s">
        <v>2015</v>
      </c>
    </row>
    <row r="74" customFormat="false" ht="36" hidden="false" customHeight="true" outlineLevel="0" collapsed="false">
      <c r="A74" s="6" t="str">
        <f aca="false">B74&amp;"-"&amp;E74&amp;".wav"</f>
        <v>G8-S3-Q.wav</v>
      </c>
      <c r="B74" s="7" t="s">
        <v>207</v>
      </c>
      <c r="C74" s="15" t="n">
        <v>8</v>
      </c>
      <c r="D74" s="22" t="s">
        <v>12</v>
      </c>
      <c r="E74" s="7" t="s">
        <v>13</v>
      </c>
      <c r="F74" s="23" t="s">
        <v>2014</v>
      </c>
      <c r="G74" s="25" t="n">
        <f aca="false">INDEX(剧本总览!$J$8:$J$31,MATCH(B74,剧本总览!$A$8:$A$31,0))</f>
        <v>4.51818181818182</v>
      </c>
      <c r="H74" s="10"/>
      <c r="I74" s="10"/>
      <c r="J74" s="28"/>
      <c r="K74" s="10" t="s">
        <v>2015</v>
      </c>
      <c r="L74" s="10" t="s">
        <v>2015</v>
      </c>
    </row>
    <row r="75" customFormat="false" ht="36" hidden="false" customHeight="true" outlineLevel="0" collapsed="false">
      <c r="A75" s="6" t="str">
        <f aca="false">B75&amp;"-"&amp;E75&amp;".wav"</f>
        <v>G8-S3-N.wav</v>
      </c>
      <c r="B75" s="7" t="s">
        <v>207</v>
      </c>
      <c r="C75" s="15" t="n">
        <v>8</v>
      </c>
      <c r="D75" s="22" t="s">
        <v>15</v>
      </c>
      <c r="E75" s="7" t="s">
        <v>16</v>
      </c>
      <c r="F75" s="23" t="s">
        <v>17</v>
      </c>
      <c r="G75" s="25" t="n">
        <f aca="false">INDEX(剧本总览!$J$8:$J$31,MATCH(B75,剧本总览!$A$8:$A$31,0))</f>
        <v>4.51818181818182</v>
      </c>
      <c r="H75" s="10"/>
      <c r="I75" s="10"/>
      <c r="J75" s="28"/>
      <c r="K75" s="10" t="s">
        <v>2015</v>
      </c>
      <c r="L75" s="10" t="s">
        <v>2015</v>
      </c>
    </row>
    <row r="76" customFormat="false" ht="36" hidden="false" customHeight="true" outlineLevel="0" collapsed="false">
      <c r="A76" s="6" t="str">
        <f aca="false">B76&amp;"-"&amp;E76&amp;".wav"</f>
        <v>G8-S3-F.wav</v>
      </c>
      <c r="B76" s="7" t="s">
        <v>207</v>
      </c>
      <c r="C76" s="15" t="n">
        <v>8</v>
      </c>
      <c r="D76" s="22" t="s">
        <v>18</v>
      </c>
      <c r="E76" s="7" t="s">
        <v>19</v>
      </c>
      <c r="F76" s="23" t="s">
        <v>2016</v>
      </c>
      <c r="G76" s="25" t="n">
        <f aca="false">INDEX(剧本总览!$J$8:$J$31,MATCH(B76,剧本总览!$A$8:$A$31,0))</f>
        <v>4.51818181818182</v>
      </c>
      <c r="H76" s="10"/>
      <c r="I76" s="10"/>
      <c r="J76" s="28"/>
      <c r="K76" s="10" t="s">
        <v>2015</v>
      </c>
      <c r="L76" s="10" t="s">
        <v>2015</v>
      </c>
    </row>
    <row r="78" customFormat="false" ht="15" hidden="false" customHeight="false" outlineLevel="0" collapsed="false">
      <c r="A78" s="8" t="s">
        <v>2017</v>
      </c>
    </row>
    <row r="79" customFormat="false" ht="29.85" hidden="false" customHeight="false" outlineLevel="0" collapsed="false">
      <c r="A79" s="5" t="s">
        <v>2018</v>
      </c>
      <c r="B79" s="5" t="s">
        <v>2019</v>
      </c>
      <c r="C79" s="5" t="s">
        <v>2020</v>
      </c>
      <c r="D79" s="5" t="s">
        <v>2021</v>
      </c>
    </row>
    <row r="80" customFormat="false" ht="15" hidden="false" customHeight="false" outlineLevel="0" collapsed="false">
      <c r="A80" s="6" t="s">
        <v>12</v>
      </c>
      <c r="B80" s="17" t="n">
        <f aca="false">SUMIF($D$5:$D$76,"安静",$G$5:$G$76)</f>
        <v>103.877272727273</v>
      </c>
      <c r="C80" s="17" t="n">
        <f aca="false">SUMIF($D$5:$D$76,A80,$J$5:$J$76)</f>
        <v>0</v>
      </c>
      <c r="D80" s="7" t="str">
        <f aca="false">COUNTIFS($D$5:$D$76,A80,$L$5:$L$76,"是")&amp;" / "&amp;COUNTIF($D$5:$D$76,A80)</f>
        <v>0 / 24</v>
      </c>
    </row>
    <row r="81" customFormat="false" ht="15" hidden="false" customHeight="false" outlineLevel="0" collapsed="false">
      <c r="A81" s="6" t="s">
        <v>15</v>
      </c>
      <c r="B81" s="17" t="n">
        <f aca="false">SUMIF($D$5:$D$76,"嘈杂教室",$G$5:$G$76)</f>
        <v>103.877272727273</v>
      </c>
      <c r="C81" s="17" t="n">
        <f aca="false">SUMIF($D$5:$D$76,A81,$J$5:$J$76)</f>
        <v>0</v>
      </c>
      <c r="D81" s="7" t="str">
        <f aca="false">COUNTIFS($D$5:$D$76,A81,$L$5:$L$76,"是")&amp;" / "&amp;COUNTIF($D$5:$D$76,A81)</f>
        <v>0 / 24</v>
      </c>
    </row>
    <row r="82" customFormat="false" ht="15" hidden="false" customHeight="false" outlineLevel="0" collapsed="false">
      <c r="A82" s="6" t="s">
        <v>18</v>
      </c>
      <c r="B82" s="17" t="n">
        <f aca="false">SUMIF($D$5:$D$76,"口袋或远距离",$G$5:$G$76)</f>
        <v>103.877272727273</v>
      </c>
      <c r="C82" s="17" t="n">
        <f aca="false">SUMIF($D$5:$D$76,A82,$J$5:$J$76)</f>
        <v>0</v>
      </c>
      <c r="D82" s="7" t="str">
        <f aca="false">COUNTIFS($D$5:$D$76,A82,$L$5:$L$76,"是")&amp;" / "&amp;COUNTIF($D$5:$D$76,A82)</f>
        <v>0 / 24</v>
      </c>
    </row>
    <row r="83" customFormat="false" ht="15" hidden="false" customHeight="false" outlineLevel="0" collapsed="false">
      <c r="A83" s="19" t="s">
        <v>2022</v>
      </c>
      <c r="B83" s="21" t="n">
        <f aca="false">SUM(B80:B82)</f>
        <v>311.631818181818</v>
      </c>
      <c r="C83" s="21" t="n">
        <f aca="false">SUM(C80:C82)</f>
        <v>0</v>
      </c>
      <c r="D83" s="19" t="str">
        <f aca="false">COUNTIF($L$5:$L$76,"是")&amp;" / "&amp;COUNTA($B$5:$B$76)</f>
        <v>0 / 72</v>
      </c>
    </row>
    <row r="84" customFormat="false" ht="15" hidden="false" customHeight="false" outlineLevel="0" collapsed="false">
      <c r="A84" s="19" t="s">
        <v>2023</v>
      </c>
      <c r="B84" s="21" t="n">
        <f aca="false">B83/60</f>
        <v>5.19386363636364</v>
      </c>
      <c r="C84" s="21" t="n">
        <f aca="false">C83/60</f>
        <v>0</v>
      </c>
      <c r="D84" s="20"/>
    </row>
  </sheetData>
  <autoFilter ref="A4:L76"/>
  <mergeCells count="1">
    <mergeCell ref="A2:L2"/>
  </mergeCells>
  <dataValidations count="1">
    <dataValidation allowBlank="true" errorStyle="stop" operator="between" showDropDown="false" showErrorMessage="false" showInputMessage="false" sqref="K5:L76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8"/>
  </cols>
  <sheetData>
    <row r="1" customFormat="false" ht="25.5" hidden="false" customHeight="true" outlineLevel="0" collapsed="false">
      <c r="A1" s="1" t="s">
        <v>2024</v>
      </c>
    </row>
    <row r="2" customFormat="false" ht="36" hidden="false" customHeight="true" outlineLevel="0" collapsed="false">
      <c r="A2" s="13" t="s">
        <v>2025</v>
      </c>
      <c r="B2" s="13"/>
      <c r="C2" s="13"/>
      <c r="D2" s="13"/>
    </row>
    <row r="4" customFormat="false" ht="31.5" hidden="false" customHeight="true" outlineLevel="0" collapsed="false">
      <c r="A4" s="5" t="s">
        <v>2026</v>
      </c>
      <c r="B4" s="5" t="s">
        <v>2027</v>
      </c>
      <c r="C4" s="5" t="s">
        <v>2028</v>
      </c>
      <c r="D4" s="5" t="s">
        <v>2029</v>
      </c>
    </row>
    <row r="5" customFormat="false" ht="21" hidden="false" customHeight="true" outlineLevel="0" collapsed="false">
      <c r="A5" s="22" t="s">
        <v>2030</v>
      </c>
      <c r="B5" s="16" t="s">
        <v>310</v>
      </c>
      <c r="C5" s="22" t="s">
        <v>2031</v>
      </c>
      <c r="D5" s="4" t="s">
        <v>2032</v>
      </c>
    </row>
    <row r="6" customFormat="false" ht="21" hidden="false" customHeight="true" outlineLevel="0" collapsed="false">
      <c r="A6" s="22" t="s">
        <v>2030</v>
      </c>
      <c r="B6" s="16" t="s">
        <v>2033</v>
      </c>
      <c r="C6" s="22" t="s">
        <v>2034</v>
      </c>
      <c r="D6" s="4" t="s">
        <v>2032</v>
      </c>
    </row>
    <row r="7" customFormat="false" ht="21" hidden="false" customHeight="true" outlineLevel="0" collapsed="false">
      <c r="A7" s="22" t="s">
        <v>2030</v>
      </c>
      <c r="B7" s="16" t="s">
        <v>2035</v>
      </c>
      <c r="C7" s="22" t="s">
        <v>2036</v>
      </c>
      <c r="D7" s="4" t="s">
        <v>2032</v>
      </c>
    </row>
    <row r="8" customFormat="false" ht="21" hidden="false" customHeight="true" outlineLevel="0" collapsed="false">
      <c r="A8" s="22" t="s">
        <v>2030</v>
      </c>
      <c r="B8" s="16" t="s">
        <v>1212</v>
      </c>
      <c r="C8" s="22" t="s">
        <v>2037</v>
      </c>
      <c r="D8" s="4" t="s">
        <v>2032</v>
      </c>
    </row>
    <row r="9" customFormat="false" ht="36" hidden="false" customHeight="true" outlineLevel="0" collapsed="false">
      <c r="A9" s="22" t="s">
        <v>2030</v>
      </c>
      <c r="B9" s="16" t="s">
        <v>2038</v>
      </c>
      <c r="C9" s="22" t="s">
        <v>2039</v>
      </c>
      <c r="D9" s="4" t="s">
        <v>2040</v>
      </c>
    </row>
    <row r="10" customFormat="false" ht="21" hidden="false" customHeight="true" outlineLevel="0" collapsed="false">
      <c r="A10" s="22" t="s">
        <v>2030</v>
      </c>
      <c r="B10" s="16" t="s">
        <v>2041</v>
      </c>
      <c r="C10" s="22" t="s">
        <v>2039</v>
      </c>
      <c r="D10" s="4" t="s">
        <v>2042</v>
      </c>
    </row>
    <row r="11" customFormat="false" ht="21" hidden="false" customHeight="true" outlineLevel="0" collapsed="false">
      <c r="A11" s="22" t="s">
        <v>2030</v>
      </c>
      <c r="B11" s="16" t="s">
        <v>1518</v>
      </c>
      <c r="C11" s="22" t="s">
        <v>2043</v>
      </c>
      <c r="D11" s="4" t="s">
        <v>2032</v>
      </c>
    </row>
    <row r="12" customFormat="false" ht="21" hidden="false" customHeight="true" outlineLevel="0" collapsed="false">
      <c r="A12" s="22" t="s">
        <v>2030</v>
      </c>
      <c r="B12" s="16" t="s">
        <v>1786</v>
      </c>
      <c r="C12" s="22" t="s">
        <v>2044</v>
      </c>
      <c r="D12" s="4" t="s">
        <v>2032</v>
      </c>
    </row>
    <row r="13" customFormat="false" ht="21" hidden="false" customHeight="true" outlineLevel="0" collapsed="false">
      <c r="A13" s="22" t="s">
        <v>2030</v>
      </c>
      <c r="B13" s="16" t="s">
        <v>2045</v>
      </c>
      <c r="C13" s="22" t="s">
        <v>2046</v>
      </c>
      <c r="D13" s="4" t="s">
        <v>2032</v>
      </c>
    </row>
    <row r="14" customFormat="false" ht="21" hidden="false" customHeight="true" outlineLevel="0" collapsed="false">
      <c r="A14" s="22" t="s">
        <v>2047</v>
      </c>
      <c r="B14" s="16" t="s">
        <v>2048</v>
      </c>
      <c r="C14" s="22" t="s">
        <v>2031</v>
      </c>
      <c r="D14" s="4" t="s">
        <v>2032</v>
      </c>
    </row>
    <row r="15" customFormat="false" ht="21" hidden="false" customHeight="true" outlineLevel="0" collapsed="false">
      <c r="A15" s="22" t="s">
        <v>2047</v>
      </c>
      <c r="B15" s="16" t="s">
        <v>349</v>
      </c>
      <c r="C15" s="22" t="s">
        <v>2031</v>
      </c>
      <c r="D15" s="4" t="s">
        <v>2032</v>
      </c>
    </row>
    <row r="16" customFormat="false" ht="21" hidden="false" customHeight="true" outlineLevel="0" collapsed="false">
      <c r="A16" s="22" t="s">
        <v>2047</v>
      </c>
      <c r="B16" s="16" t="s">
        <v>2049</v>
      </c>
      <c r="C16" s="22" t="s">
        <v>2034</v>
      </c>
      <c r="D16" s="4" t="s">
        <v>2032</v>
      </c>
    </row>
    <row r="17" customFormat="false" ht="21" hidden="false" customHeight="true" outlineLevel="0" collapsed="false">
      <c r="A17" s="22" t="s">
        <v>2047</v>
      </c>
      <c r="B17" s="16" t="s">
        <v>2050</v>
      </c>
      <c r="C17" s="22" t="s">
        <v>2034</v>
      </c>
      <c r="D17" s="4" t="s">
        <v>2032</v>
      </c>
    </row>
    <row r="18" customFormat="false" ht="21" hidden="false" customHeight="true" outlineLevel="0" collapsed="false">
      <c r="A18" s="22" t="s">
        <v>2047</v>
      </c>
      <c r="B18" s="16" t="s">
        <v>2051</v>
      </c>
      <c r="C18" s="22" t="s">
        <v>2052</v>
      </c>
      <c r="D18" s="4" t="s">
        <v>2053</v>
      </c>
    </row>
    <row r="19" customFormat="false" ht="21" hidden="false" customHeight="true" outlineLevel="0" collapsed="false">
      <c r="A19" s="22" t="s">
        <v>2047</v>
      </c>
      <c r="B19" s="16" t="s">
        <v>2054</v>
      </c>
      <c r="C19" s="22" t="s">
        <v>2039</v>
      </c>
      <c r="D19" s="4" t="s">
        <v>2055</v>
      </c>
    </row>
    <row r="20" customFormat="false" ht="21" hidden="false" customHeight="true" outlineLevel="0" collapsed="false">
      <c r="A20" s="22" t="s">
        <v>2047</v>
      </c>
      <c r="B20" s="16" t="s">
        <v>2056</v>
      </c>
      <c r="C20" s="22" t="s">
        <v>2039</v>
      </c>
      <c r="D20" s="4" t="s">
        <v>2032</v>
      </c>
    </row>
    <row r="21" customFormat="false" ht="21" hidden="false" customHeight="true" outlineLevel="0" collapsed="false">
      <c r="A21" s="22" t="s">
        <v>2047</v>
      </c>
      <c r="B21" s="16" t="s">
        <v>1475</v>
      </c>
      <c r="C21" s="22" t="s">
        <v>2043</v>
      </c>
      <c r="D21" s="4" t="s">
        <v>2032</v>
      </c>
    </row>
    <row r="22" customFormat="false" ht="21" hidden="false" customHeight="true" outlineLevel="0" collapsed="false">
      <c r="A22" s="22" t="s">
        <v>2057</v>
      </c>
      <c r="B22" s="16" t="s">
        <v>1277</v>
      </c>
      <c r="C22" s="22" t="s">
        <v>2039</v>
      </c>
      <c r="D22" s="4" t="s">
        <v>2058</v>
      </c>
    </row>
    <row r="23" customFormat="false" ht="21" hidden="false" customHeight="true" outlineLevel="0" collapsed="false">
      <c r="A23" s="22" t="s">
        <v>2059</v>
      </c>
      <c r="B23" s="16" t="s">
        <v>2060</v>
      </c>
      <c r="C23" s="22" t="s">
        <v>2036</v>
      </c>
      <c r="D23" s="4" t="s">
        <v>2032</v>
      </c>
    </row>
    <row r="24" customFormat="false" ht="21" hidden="false" customHeight="true" outlineLevel="0" collapsed="false">
      <c r="A24" s="22" t="s">
        <v>2059</v>
      </c>
      <c r="B24" s="16" t="s">
        <v>881</v>
      </c>
      <c r="C24" s="22" t="s">
        <v>2036</v>
      </c>
      <c r="D24" s="4" t="s">
        <v>2032</v>
      </c>
    </row>
    <row r="25" customFormat="false" ht="21" hidden="false" customHeight="true" outlineLevel="0" collapsed="false">
      <c r="A25" s="22" t="s">
        <v>2059</v>
      </c>
      <c r="B25" s="16" t="s">
        <v>1689</v>
      </c>
      <c r="C25" s="22" t="s">
        <v>2044</v>
      </c>
      <c r="D25" s="4" t="s">
        <v>2032</v>
      </c>
    </row>
    <row r="26" customFormat="false" ht="36" hidden="false" customHeight="true" outlineLevel="0" collapsed="false">
      <c r="A26" s="22" t="s">
        <v>2061</v>
      </c>
      <c r="B26" s="16" t="s">
        <v>2062</v>
      </c>
      <c r="C26" s="22" t="s">
        <v>2037</v>
      </c>
      <c r="D26" s="4" t="s">
        <v>2063</v>
      </c>
    </row>
    <row r="27" customFormat="false" ht="36" hidden="false" customHeight="true" outlineLevel="0" collapsed="false">
      <c r="A27" s="22" t="s">
        <v>2061</v>
      </c>
      <c r="B27" s="16" t="s">
        <v>2064</v>
      </c>
      <c r="C27" s="22" t="s">
        <v>2037</v>
      </c>
      <c r="D27" s="4" t="s">
        <v>2032</v>
      </c>
    </row>
    <row r="28" customFormat="false" ht="36" hidden="false" customHeight="true" outlineLevel="0" collapsed="false">
      <c r="A28" s="22" t="s">
        <v>2061</v>
      </c>
      <c r="B28" s="16" t="s">
        <v>1074</v>
      </c>
      <c r="C28" s="22" t="s">
        <v>2037</v>
      </c>
      <c r="D28" s="4" t="s">
        <v>2032</v>
      </c>
    </row>
    <row r="29" customFormat="false" ht="36" hidden="false" customHeight="true" outlineLevel="0" collapsed="false">
      <c r="A29" s="22" t="s">
        <v>2065</v>
      </c>
      <c r="B29" s="16" t="s">
        <v>2066</v>
      </c>
      <c r="C29" s="22" t="s">
        <v>2067</v>
      </c>
      <c r="D29" s="4" t="s">
        <v>2068</v>
      </c>
    </row>
    <row r="30" customFormat="false" ht="21" hidden="false" customHeight="true" outlineLevel="0" collapsed="false">
      <c r="A30" s="22" t="s">
        <v>2065</v>
      </c>
      <c r="B30" s="16" t="s">
        <v>846</v>
      </c>
      <c r="C30" s="22" t="s">
        <v>2036</v>
      </c>
      <c r="D30" s="4" t="s">
        <v>2032</v>
      </c>
    </row>
    <row r="31" customFormat="false" ht="21" hidden="false" customHeight="true" outlineLevel="0" collapsed="false">
      <c r="A31" s="22" t="s">
        <v>2069</v>
      </c>
      <c r="B31" s="16" t="s">
        <v>2070</v>
      </c>
      <c r="C31" s="22" t="s">
        <v>2037</v>
      </c>
      <c r="D31" s="4" t="s">
        <v>2071</v>
      </c>
    </row>
    <row r="32" customFormat="false" ht="21" hidden="false" customHeight="true" outlineLevel="0" collapsed="false">
      <c r="A32" s="22" t="s">
        <v>2069</v>
      </c>
      <c r="B32" s="16" t="s">
        <v>2072</v>
      </c>
      <c r="C32" s="22" t="s">
        <v>2037</v>
      </c>
      <c r="D32" s="4" t="s">
        <v>2032</v>
      </c>
    </row>
    <row r="33" customFormat="false" ht="21" hidden="false" customHeight="true" outlineLevel="0" collapsed="false">
      <c r="A33" s="22" t="s">
        <v>2069</v>
      </c>
      <c r="B33" s="16" t="s">
        <v>2073</v>
      </c>
      <c r="C33" s="22" t="s">
        <v>2037</v>
      </c>
      <c r="D33" s="4" t="s">
        <v>2032</v>
      </c>
    </row>
    <row r="34" customFormat="false" ht="21" hidden="false" customHeight="true" outlineLevel="0" collapsed="false">
      <c r="A34" s="22" t="s">
        <v>2069</v>
      </c>
      <c r="B34" s="16" t="s">
        <v>2074</v>
      </c>
      <c r="C34" s="22" t="s">
        <v>2037</v>
      </c>
      <c r="D34" s="4" t="s">
        <v>2032</v>
      </c>
    </row>
    <row r="35" customFormat="false" ht="36" hidden="false" customHeight="true" outlineLevel="0" collapsed="false">
      <c r="A35" s="22" t="s">
        <v>2075</v>
      </c>
      <c r="B35" s="29" t="s">
        <v>2076</v>
      </c>
      <c r="C35" s="22" t="s">
        <v>2077</v>
      </c>
      <c r="D35" s="4" t="s">
        <v>2078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2026-10-07T06:50:52Z</dcterms:created>
  <dc:creator>openpyxl</dc:creator>
  <dc:description/>
  <dc:language>en-US</dc:language>
  <cp:lastModifiedBy/>
  <dcterms:modified xsi:type="dcterms:W3CDTF">2026-10-07T06:50:53Z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