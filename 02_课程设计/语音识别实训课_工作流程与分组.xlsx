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" sheetId="1" state="visible" r:id="rId3"/>
    <sheet name="阶段进度" sheetId="2" state="visible" r:id="rId4"/>
    <sheet name="处理流程" sheetId="3" state="visible" r:id="rId5"/>
    <sheet name="分组分工" sheetId="4" state="visible" r:id="rId6"/>
    <sheet name="数据需求" sheetId="5" state="visible" r:id="rId7"/>
    <sheet name="统一中间格式" sheetId="6" state="visible" r:id="rId8"/>
    <sheet name="协作规则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<sst xmlns="http://schemas.openxmlformats.org/spreadsheetml/2006/main" count="327" uniqueCount="264">
  <si>
    <r>
      <rPr>
        <b val="true"/>
        <sz val="14"/>
        <color rgb="FF0F6E56"/>
        <rFont val="Noto Sans CJK SC"/>
        <family val="2"/>
      </rPr>
      <t xml:space="preserve">语音识别实训课 </t>
    </r>
    <r>
      <rPr>
        <b val="true"/>
        <sz val="14"/>
        <color rgb="FF0F6E56"/>
        <rFont val="微软雅黑"/>
        <family val="0"/>
        <charset val="1"/>
      </rPr>
      <t xml:space="preserve">· </t>
    </r>
    <r>
      <rPr>
        <b val="true"/>
        <sz val="14"/>
        <color rgb="FF0F6E56"/>
        <rFont val="Noto Sans CJK SC"/>
        <family val="2"/>
      </rPr>
      <t xml:space="preserve">旅游纠纷录音材料整理项目：工作流程与分组</t>
    </r>
  </si>
  <si>
    <t xml:space="preserve">整理日期</t>
  </si>
  <si>
    <t xml:space="preserve">2026-10-07</t>
  </si>
  <si>
    <t xml:space="preserve">内容来源</t>
  </si>
  <si>
    <t xml:space="preserve">本次对话中的课程设计讨论（方案草稿，尚未定稿）</t>
  </si>
  <si>
    <t xml:space="preserve">适用对象</t>
  </si>
  <si>
    <r>
      <rPr>
        <sz val="10"/>
        <color rgb="FF000000"/>
        <rFont val="Noto Sans CJK SC"/>
        <family val="2"/>
      </rPr>
      <t xml:space="preserve">约 </t>
    </r>
    <r>
      <rPr>
        <sz val="10"/>
        <color rgb="FF000000"/>
        <rFont val="微软雅黑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名专科生，</t>
    </r>
    <r>
      <rPr>
        <sz val="10"/>
        <color rgb="FF000000"/>
        <rFont val="微软雅黑"/>
        <family val="0"/>
        <charset val="1"/>
      </rPr>
      <t xml:space="preserve">4—5 </t>
    </r>
    <r>
      <rPr>
        <sz val="10"/>
        <color rgb="FF000000"/>
        <rFont val="Noto Sans CJK SC"/>
        <family val="2"/>
      </rPr>
      <t xml:space="preserve">人一组，共 </t>
    </r>
    <r>
      <rPr>
        <sz val="10"/>
        <color rgb="FF000000"/>
        <rFont val="微软雅黑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组；</t>
    </r>
    <r>
      <rPr>
        <sz val="10"/>
        <color rgb="FF000000"/>
        <rFont val="微软雅黑"/>
        <family val="0"/>
        <charset val="1"/>
      </rPr>
      <t xml:space="preserve">8—12 </t>
    </r>
    <r>
      <rPr>
        <sz val="10"/>
        <color rgb="FF000000"/>
        <rFont val="Noto Sans CJK SC"/>
        <family val="2"/>
      </rPr>
      <t xml:space="preserve">周</t>
    </r>
  </si>
  <si>
    <t xml:space="preserve">工作表</t>
  </si>
  <si>
    <t xml:space="preserve">内容</t>
  </si>
  <si>
    <t xml:space="preserve">阶段进度</t>
  </si>
  <si>
    <r>
      <rPr>
        <sz val="10"/>
        <color rgb="FF000000"/>
        <rFont val="Noto Sans CJK SC"/>
        <family val="2"/>
      </rPr>
      <t xml:space="preserve">七个阶段的内容、参与者和产出；同时列出 </t>
    </r>
    <r>
      <rPr>
        <sz val="10"/>
        <color rgb="FF000000"/>
        <rFont val="微软雅黑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周、</t>
    </r>
    <r>
      <rPr>
        <sz val="10"/>
        <color rgb="FF000000"/>
        <rFont val="微软雅黑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周、</t>
    </r>
    <r>
      <rPr>
        <sz val="10"/>
        <color rgb="FF000000"/>
        <rFont val="微软雅黑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周三种排法</t>
    </r>
  </si>
  <si>
    <t xml:space="preserve">处理流程</t>
  </si>
  <si>
    <t xml:space="preserve">工具的八个处理步骤、负责方、写入字段和测评指标</t>
  </si>
  <si>
    <t xml:space="preserve">分组分工</t>
  </si>
  <si>
    <r>
      <rPr>
        <sz val="10"/>
        <color rgb="FF000000"/>
        <rFont val="微软雅黑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个组的虚构剧本场景、专项、测评指标、交付物，以及待填写的组长、组员和状态</t>
    </r>
  </si>
  <si>
    <t xml:space="preserve">数据需求</t>
  </si>
  <si>
    <t xml:space="preserve">测评录音、话术文本、精细标注的数量估算，可调参数后自动重算</t>
  </si>
  <si>
    <t xml:space="preserve">统一中间格式</t>
  </si>
  <si>
    <t xml:space="preserve">各组模块之间传递数据的五个字段</t>
  </si>
  <si>
    <t xml:space="preserve">协作规则</t>
  </si>
  <si>
    <t xml:space="preserve">贯穿全程的五条规则</t>
  </si>
  <si>
    <t xml:space="preserve">格式</t>
  </si>
  <si>
    <t xml:space="preserve">含义</t>
  </si>
  <si>
    <t xml:space="preserve">示例</t>
  </si>
  <si>
    <t xml:space="preserve">浅黄色底</t>
  </si>
  <si>
    <t xml:space="preserve">需要填写的单元格（组长、组员、状态）</t>
  </si>
  <si>
    <t xml:space="preserve">进行中</t>
  </si>
  <si>
    <t xml:space="preserve">蓝色数字</t>
  </si>
  <si>
    <t xml:space="preserve">可调整的参数，改动后相关公式会自动重算</t>
  </si>
  <si>
    <t xml:space="preserve">34</t>
  </si>
  <si>
    <t xml:space="preserve">黑色数字</t>
  </si>
  <si>
    <t xml:space="preserve">公式计算结果，不要直接改写</t>
  </si>
  <si>
    <t xml:space="preserve">3.6</t>
  </si>
  <si>
    <t xml:space="preserve">绿色</t>
  </si>
  <si>
    <t xml:space="preserve">引用其他工作表的公式</t>
  </si>
  <si>
    <t xml:space="preserve">8</t>
  </si>
  <si>
    <t xml:space="preserve">灰色底</t>
  </si>
  <si>
    <t xml:space="preserve">合计行，或教师模板、人工环节</t>
  </si>
  <si>
    <t xml:space="preserve">填写示例</t>
  </si>
  <si>
    <t xml:space="preserve">组长填“张三”；组员填“李四、王五、赵六”（用顿号分隔）；状态从下拉列表中选择。</t>
  </si>
  <si>
    <t xml:space="preserve">注意</t>
  </si>
  <si>
    <r>
      <rPr>
        <sz val="10"/>
        <color rgb="FF000000"/>
        <rFont val="微软雅黑"/>
        <family val="0"/>
        <charset val="1"/>
      </rPr>
      <t xml:space="preserve">1. </t>
    </r>
    <r>
      <rPr>
        <sz val="10"/>
        <color rgb="FF000000"/>
        <rFont val="Noto Sans CJK SC"/>
        <family val="2"/>
      </rPr>
      <t xml:space="preserve">数据量和周数都是讨论中的估算与建议值，开课前需结合机房条件实测调整。
</t>
    </r>
    <r>
      <rPr>
        <sz val="10"/>
        <color rgb="FF000000"/>
        <rFont val="微软雅黑"/>
        <family val="0"/>
        <charset val="1"/>
      </rPr>
      <t xml:space="preserve">2. </t>
    </r>
    <r>
      <rPr>
        <sz val="10"/>
        <color rgb="FF000000"/>
        <rFont val="Noto Sans CJK SC"/>
        <family val="2"/>
      </rPr>
      <t xml:space="preserve">剧本中的旅行社、购物店、导游名字一律虚构；只写商业纠纷，不写政治、民族或侮辱性言论。
</t>
    </r>
    <r>
      <rPr>
        <sz val="10"/>
        <color rgb="FF000000"/>
        <rFont val="微软雅黑"/>
        <family val="0"/>
        <charset val="1"/>
      </rPr>
      <t xml:space="preserve">3. </t>
    </r>
    <r>
      <rPr>
        <sz val="10"/>
        <color rgb="FF000000"/>
        <rFont val="Noto Sans CJK SC"/>
        <family val="2"/>
      </rPr>
      <t xml:space="preserve">工具输出只作“疑似、待核查”的提示，不作定性结论，必须人工复核。</t>
    </r>
  </si>
  <si>
    <r>
      <rPr>
        <b val="true"/>
        <sz val="14"/>
        <color rgb="FF0F6E56"/>
        <rFont val="Noto Sans CJK SC"/>
        <family val="2"/>
      </rPr>
      <t xml:space="preserve">阶段进度（</t>
    </r>
    <r>
      <rPr>
        <b val="true"/>
        <sz val="14"/>
        <color rgb="FF0F6E56"/>
        <rFont val="微软雅黑"/>
        <family val="0"/>
        <charset val="1"/>
      </rPr>
      <t xml:space="preserve">10 </t>
    </r>
    <r>
      <rPr>
        <b val="true"/>
        <sz val="14"/>
        <color rgb="FF0F6E56"/>
        <rFont val="Noto Sans CJK SC"/>
        <family val="2"/>
      </rPr>
      <t xml:space="preserve">周为基准，附 </t>
    </r>
    <r>
      <rPr>
        <b val="true"/>
        <sz val="14"/>
        <color rgb="FF0F6E56"/>
        <rFont val="微软雅黑"/>
        <family val="0"/>
        <charset val="1"/>
      </rPr>
      <t xml:space="preserve">8 </t>
    </r>
    <r>
      <rPr>
        <b val="true"/>
        <sz val="14"/>
        <color rgb="FF0F6E56"/>
        <rFont val="Noto Sans CJK SC"/>
        <family val="2"/>
      </rPr>
      <t xml:space="preserve">周与 </t>
    </r>
    <r>
      <rPr>
        <b val="true"/>
        <sz val="14"/>
        <color rgb="FF0F6E56"/>
        <rFont val="微软雅黑"/>
        <family val="0"/>
        <charset val="1"/>
      </rPr>
      <t xml:space="preserve">12 </t>
    </r>
    <r>
      <rPr>
        <b val="true"/>
        <sz val="14"/>
        <color rgb="FF0F6E56"/>
        <rFont val="Noto Sans CJK SC"/>
        <family val="2"/>
      </rPr>
      <t xml:space="preserve">周方案）</t>
    </r>
  </si>
  <si>
    <r>
      <rPr>
        <sz val="10"/>
        <color rgb="FF5F5E5A"/>
        <rFont val="微软雅黑"/>
        <family val="0"/>
        <charset val="1"/>
      </rPr>
      <t xml:space="preserve">8 </t>
    </r>
    <r>
      <rPr>
        <sz val="10"/>
        <color rgb="FF5F5E5A"/>
        <rFont val="Noto Sans CJK SC"/>
        <family val="2"/>
      </rPr>
      <t xml:space="preserve">周方案：原理课压缩为 </t>
    </r>
    <r>
      <rPr>
        <sz val="10"/>
        <color rgb="FF5F5E5A"/>
        <rFont val="微软雅黑"/>
        <family val="0"/>
        <charset val="1"/>
      </rPr>
      <t xml:space="preserve">1 </t>
    </r>
    <r>
      <rPr>
        <sz val="10"/>
        <color rgb="FF5F5E5A"/>
        <rFont val="Noto Sans CJK SC"/>
        <family val="2"/>
      </rPr>
      <t xml:space="preserve">周，专项改进缩到 </t>
    </r>
    <r>
      <rPr>
        <sz val="10"/>
        <color rgb="FF5F5E5A"/>
        <rFont val="微软雅黑"/>
        <family val="0"/>
        <charset val="1"/>
      </rPr>
      <t xml:space="preserve">2 </t>
    </r>
    <r>
      <rPr>
        <sz val="10"/>
        <color rgb="FF5F5E5A"/>
        <rFont val="Noto Sans CJK SC"/>
        <family val="2"/>
      </rPr>
      <t xml:space="preserve">周。</t>
    </r>
    <r>
      <rPr>
        <sz val="10"/>
        <color rgb="FF5F5E5A"/>
        <rFont val="微软雅黑"/>
        <family val="0"/>
        <charset val="1"/>
      </rPr>
      <t xml:space="preserve">12 </t>
    </r>
    <r>
      <rPr>
        <sz val="10"/>
        <color rgb="FF5F5E5A"/>
        <rFont val="Noto Sans CJK SC"/>
        <family val="2"/>
      </rPr>
      <t xml:space="preserve">周方案：多出的时间给专项改进和串联测试。周次为 </t>
    </r>
    <r>
      <rPr>
        <sz val="10"/>
        <color rgb="FF5F5E5A"/>
        <rFont val="微软雅黑"/>
        <family val="0"/>
        <charset val="1"/>
      </rPr>
      <t xml:space="preserve">0 </t>
    </r>
    <r>
      <rPr>
        <sz val="10"/>
        <color rgb="FF5F5E5A"/>
        <rFont val="Noto Sans CJK SC"/>
        <family val="2"/>
      </rPr>
      <t xml:space="preserve">表示开课前。剧本写作和参考文本校对主要在课外完成。</t>
    </r>
  </si>
  <si>
    <t xml:space="preserve">序号</t>
  </si>
  <si>
    <t xml:space="preserve">阶段</t>
  </si>
  <si>
    <t xml:space="preserve">主要内容</t>
  </si>
  <si>
    <t xml:space="preserve">参与者</t>
  </si>
  <si>
    <r>
      <rPr>
        <b val="true"/>
        <sz val="10"/>
        <color rgb="FFFFFFFF"/>
        <rFont val="微软雅黑"/>
        <family val="0"/>
        <charset val="1"/>
      </rPr>
      <t xml:space="preserve">10 </t>
    </r>
    <r>
      <rPr>
        <b val="true"/>
        <sz val="10"/>
        <color rgb="FFFFFFFF"/>
        <rFont val="Noto Sans CJK SC"/>
        <family val="2"/>
      </rPr>
      <t xml:space="preserve">周方案（基准）</t>
    </r>
  </si>
  <si>
    <r>
      <rPr>
        <b val="true"/>
        <sz val="10"/>
        <color rgb="FFFFFFFF"/>
        <rFont val="微软雅黑"/>
        <family val="0"/>
        <charset val="1"/>
      </rPr>
      <t xml:space="preserve">8 </t>
    </r>
    <r>
      <rPr>
        <b val="true"/>
        <sz val="10"/>
        <color rgb="FFFFFFFF"/>
        <rFont val="Noto Sans CJK SC"/>
        <family val="2"/>
      </rPr>
      <t xml:space="preserve">周方案</t>
    </r>
  </si>
  <si>
    <r>
      <rPr>
        <b val="true"/>
        <sz val="10"/>
        <color rgb="FFFFFFFF"/>
        <rFont val="微软雅黑"/>
        <family val="0"/>
        <charset val="1"/>
      </rPr>
      <t xml:space="preserve">12 </t>
    </r>
    <r>
      <rPr>
        <b val="true"/>
        <sz val="10"/>
        <color rgb="FFFFFFFF"/>
        <rFont val="Noto Sans CJK SC"/>
        <family val="2"/>
      </rPr>
      <t xml:space="preserve">周方案</t>
    </r>
  </si>
  <si>
    <t xml:space="preserve">主要产出</t>
  </si>
  <si>
    <t xml:space="preserve">状态</t>
  </si>
  <si>
    <t xml:space="preserve">备注</t>
  </si>
  <si>
    <t xml:space="preserve">起始周</t>
  </si>
  <si>
    <t xml:space="preserve">结束周</t>
  </si>
  <si>
    <t xml:space="preserve">周数</t>
  </si>
  <si>
    <t xml:space="preserve">课前准备</t>
  </si>
  <si>
    <t xml:space="preserve">搭好基础流程（上传、格式统一、识别、时间戳、导出）；准备离线模型、数据池目录和剧本模板；确定统一中间格式，各组模块都按它读入和输出。</t>
  </si>
  <si>
    <t xml:space="preserve">教师</t>
  </si>
  <si>
    <t xml:space="preserve">可运行的基础流程；中间格式说明</t>
  </si>
  <si>
    <t xml:space="preserve">未开始</t>
  </si>
  <si>
    <t xml:space="preserve">可能需要两三周准备时间</t>
  </si>
  <si>
    <t xml:space="preserve">环境与识别基线</t>
  </si>
  <si>
    <r>
      <rPr>
        <sz val="10"/>
        <color rgb="FF000000"/>
        <rFont val="Noto Sans CJK SC"/>
        <family val="2"/>
      </rPr>
      <t xml:space="preserve">搭环境，跑通基础流程，学会算 </t>
    </r>
    <r>
      <rPr>
        <sz val="10"/>
        <color rgb="FF000000"/>
        <rFont val="微软雅黑"/>
        <family val="0"/>
        <charset val="1"/>
      </rPr>
      <t xml:space="preserve">CER</t>
    </r>
    <r>
      <rPr>
        <sz val="10"/>
        <color rgb="FF000000"/>
        <rFont val="Noto Sans CJK SC"/>
        <family val="2"/>
      </rPr>
      <t xml:space="preserve">。</t>
    </r>
  </si>
  <si>
    <t xml:space="preserve">全员</t>
  </si>
  <si>
    <r>
      <rPr>
        <sz val="10"/>
        <color rgb="FF000000"/>
        <rFont val="Noto Sans CJK SC"/>
        <family val="2"/>
      </rPr>
      <t xml:space="preserve">每人一份 </t>
    </r>
    <r>
      <rPr>
        <sz val="10"/>
        <color rgb="FF000000"/>
        <rFont val="微软雅黑"/>
        <family val="0"/>
        <charset val="1"/>
      </rPr>
      <t xml:space="preserve">CER </t>
    </r>
    <r>
      <rPr>
        <sz val="10"/>
        <color rgb="FF000000"/>
        <rFont val="Noto Sans CJK SC"/>
        <family val="2"/>
      </rPr>
      <t xml:space="preserve">结果</t>
    </r>
  </si>
  <si>
    <r>
      <rPr>
        <b val="true"/>
        <sz val="10"/>
        <color rgb="FF000000"/>
        <rFont val="Noto Sans CJK SC"/>
        <family val="2"/>
      </rPr>
      <t xml:space="preserve">原理与 </t>
    </r>
    <r>
      <rPr>
        <b val="true"/>
        <sz val="10"/>
        <color rgb="FF000000"/>
        <rFont val="微软雅黑"/>
        <family val="0"/>
        <charset val="1"/>
      </rPr>
      <t xml:space="preserve">TensorFlow </t>
    </r>
    <r>
      <rPr>
        <b val="true"/>
        <sz val="10"/>
        <color rgb="FF000000"/>
        <rFont val="Noto Sans CJK SC"/>
        <family val="2"/>
      </rPr>
      <t xml:space="preserve">小实验</t>
    </r>
  </si>
  <si>
    <r>
      <rPr>
        <sz val="10"/>
        <color rgb="FF000000"/>
        <rFont val="Noto Sans CJK SC"/>
        <family val="2"/>
      </rPr>
      <t xml:space="preserve">讲语谱图、</t>
    </r>
    <r>
      <rPr>
        <sz val="10"/>
        <color rgb="FF000000"/>
        <rFont val="微软雅黑"/>
        <family val="0"/>
        <charset val="1"/>
      </rPr>
      <t xml:space="preserve">MFCC </t>
    </r>
    <r>
      <rPr>
        <sz val="10"/>
        <color rgb="FF000000"/>
        <rFont val="Noto Sans CJK SC"/>
        <family val="2"/>
      </rPr>
      <t xml:space="preserve">等原理；每人动手做一个 </t>
    </r>
    <r>
      <rPr>
        <sz val="10"/>
        <color rgb="FF000000"/>
        <rFont val="微软雅黑"/>
        <family val="0"/>
        <charset val="1"/>
      </rPr>
      <t xml:space="preserve">TensorFlow </t>
    </r>
    <r>
      <rPr>
        <sz val="10"/>
        <color rgb="FF000000"/>
        <rFont val="Noto Sans CJK SC"/>
        <family val="2"/>
      </rPr>
      <t xml:space="preserve">小实验。</t>
    </r>
  </si>
  <si>
    <t xml:space="preserve">小实验报告</t>
  </si>
  <si>
    <r>
      <rPr>
        <sz val="10"/>
        <color rgb="FF000000"/>
        <rFont val="微软雅黑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周方案压缩为 </t>
    </r>
    <r>
      <rPr>
        <sz val="10"/>
        <color rgb="FF000000"/>
        <rFont val="微软雅黑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周</t>
    </r>
  </si>
  <si>
    <t xml:space="preserve">数据生产</t>
  </si>
  <si>
    <t xml:space="preserve">写剧本、分条件录音（安静、嘈杂教室、手机放口袋或远距离）、校对参考文本、标注，汇入共享数据池。</t>
  </si>
  <si>
    <t xml:space="preserve">共享数据池（教师统一管理）</t>
  </si>
  <si>
    <r>
      <rPr>
        <sz val="10"/>
        <color rgb="FF000000"/>
        <rFont val="Noto Sans CJK SC"/>
        <family val="2"/>
      </rPr>
      <t xml:space="preserve">剧本写作约一周、校对约一周，均在课外；课内录音一次课（</t>
    </r>
    <r>
      <rPr>
        <sz val="10"/>
        <color rgb="FF000000"/>
        <rFont val="微软雅黑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学时）</t>
    </r>
  </si>
  <si>
    <t xml:space="preserve">分组专项改进</t>
  </si>
  <si>
    <t xml:space="preserve">每组先测一次基础流程的结果，再做改进，然后复测；都用全池数据测，不只测本组录音。</t>
  </si>
  <si>
    <t xml:space="preserve">各组</t>
  </si>
  <si>
    <t xml:space="preserve">各组改进前后的对比数据</t>
  </si>
  <si>
    <r>
      <rPr>
        <sz val="10"/>
        <color rgb="FF000000"/>
        <rFont val="微软雅黑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周方案缩到 </t>
    </r>
    <r>
      <rPr>
        <sz val="10"/>
        <color rgb="FF000000"/>
        <rFont val="微软雅黑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周；</t>
    </r>
    <r>
      <rPr>
        <sz val="10"/>
        <color rgb="FF000000"/>
        <rFont val="微软雅黑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周方案延长到 </t>
    </r>
    <r>
      <rPr>
        <sz val="10"/>
        <color rgb="FF000000"/>
        <rFont val="微软雅黑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周</t>
    </r>
  </si>
  <si>
    <t xml:space="preserve">串联测试</t>
  </si>
  <si>
    <t xml:space="preserve">教师把各组模块接进基础流程，跑全量测试，生成几份核查初稿样例。</t>
  </si>
  <si>
    <t xml:space="preserve">教师主导，各组配合</t>
  </si>
  <si>
    <t xml:space="preserve">核查初稿样例</t>
  </si>
  <si>
    <r>
      <rPr>
        <sz val="10"/>
        <color rgb="FF000000"/>
        <rFont val="微软雅黑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周方案延长到 </t>
    </r>
    <r>
      <rPr>
        <sz val="10"/>
        <color rgb="FF000000"/>
        <rFont val="微软雅黑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周</t>
    </r>
  </si>
  <si>
    <t xml:space="preserve">答辩演示</t>
  </si>
  <si>
    <t xml:space="preserve">各组演示与答辩。</t>
  </si>
  <si>
    <t xml:space="preserve">演示与答辩</t>
  </si>
  <si>
    <t xml:space="preserve">方案总周数</t>
  </si>
  <si>
    <t xml:space="preserve">工具处理流程与负责方</t>
  </si>
  <si>
    <t xml:space="preserve">每段录音依次经过以下八步。各组只改进自己负责的那一步，输入输出都遵循“统一中间格式”工作表中的字段。</t>
  </si>
  <si>
    <t xml:space="preserve">步骤</t>
  </si>
  <si>
    <t xml:space="preserve">名称</t>
  </si>
  <si>
    <t xml:space="preserve">做什么</t>
  </si>
  <si>
    <t xml:space="preserve">负责方</t>
  </si>
  <si>
    <t xml:space="preserve">写入的中间格式字段</t>
  </si>
  <si>
    <t xml:space="preserve">测评指标</t>
  </si>
  <si>
    <t xml:space="preserve">上传录音或视频</t>
  </si>
  <si>
    <r>
      <rPr>
        <sz val="10"/>
        <color rgb="FF000000"/>
        <rFont val="Noto Sans CJK SC"/>
        <family val="2"/>
      </rPr>
      <t xml:space="preserve">统一转为 </t>
    </r>
    <r>
      <rPr>
        <sz val="10"/>
        <color rgb="FF000000"/>
        <rFont val="微软雅黑"/>
        <family val="0"/>
        <charset val="1"/>
      </rPr>
      <t xml:space="preserve">16kHz </t>
    </r>
    <r>
      <rPr>
        <sz val="10"/>
        <color rgb="FF000000"/>
        <rFont val="Noto Sans CJK SC"/>
        <family val="2"/>
      </rPr>
      <t xml:space="preserve">单声道音频</t>
    </r>
  </si>
  <si>
    <t xml:space="preserve">教师模板</t>
  </si>
  <si>
    <t xml:space="preserve">—</t>
  </si>
  <si>
    <t xml:space="preserve">降噪与语音端点检测</t>
  </si>
  <si>
    <t xml:space="preserve">降低噪声，切出有人声的段落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</si>
  <si>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微软雅黑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组；第 </t>
    </r>
    <r>
      <rPr>
        <sz val="10"/>
        <color rgb="FF000000"/>
        <rFont val="微软雅黑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组负责远距离条件</t>
    </r>
  </si>
  <si>
    <t xml:space="preserve">开始时间、结束时间</t>
  </si>
  <si>
    <r>
      <rPr>
        <sz val="10"/>
        <color rgb="FF000000"/>
        <rFont val="Noto Sans CJK SC"/>
        <family val="2"/>
      </rPr>
      <t xml:space="preserve">加噪前后的 </t>
    </r>
    <r>
      <rPr>
        <sz val="10"/>
        <color rgb="FF000000"/>
        <rFont val="微软雅黑"/>
        <family val="0"/>
        <charset val="1"/>
      </rPr>
      <t xml:space="preserve">CER</t>
    </r>
    <r>
      <rPr>
        <sz val="10"/>
        <color rgb="FF000000"/>
        <rFont val="Noto Sans CJK SC"/>
        <family val="2"/>
      </rPr>
      <t xml:space="preserve">；是否漏切人声；不同录音位置的 </t>
    </r>
    <r>
      <rPr>
        <sz val="10"/>
        <color rgb="FF000000"/>
        <rFont val="微软雅黑"/>
        <family val="0"/>
        <charset val="1"/>
      </rPr>
      <t xml:space="preserve">CER </t>
    </r>
    <r>
      <rPr>
        <sz val="10"/>
        <color rgb="FF000000"/>
        <rFont val="Noto Sans CJK SC"/>
        <family val="2"/>
      </rPr>
      <t xml:space="preserve">差距</t>
    </r>
  </si>
  <si>
    <t xml:space="preserve">语音识别与热词</t>
  </si>
  <si>
    <t xml:space="preserve">把每段转写为文字，加入虚构专名热词</t>
  </si>
  <si>
    <r>
      <rPr>
        <sz val="10"/>
        <color rgb="FF000000"/>
        <rFont val="Noto Sans CJK SC"/>
        <family val="2"/>
      </rPr>
      <t xml:space="preserve">基线：教师模板；热词：第 </t>
    </r>
    <r>
      <rPr>
        <sz val="10"/>
        <color rgb="FF000000"/>
        <rFont val="微软雅黑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组</t>
    </r>
  </si>
  <si>
    <t xml:space="preserve">文字内容</t>
  </si>
  <si>
    <r>
      <rPr>
        <sz val="10"/>
        <color rgb="FF000000"/>
        <rFont val="微软雅黑"/>
        <family val="0"/>
        <charset val="1"/>
      </rPr>
      <t xml:space="preserve">CER</t>
    </r>
    <r>
      <rPr>
        <sz val="10"/>
        <color rgb="FF000000"/>
        <rFont val="Noto Sans CJK SC"/>
        <family val="2"/>
      </rPr>
      <t xml:space="preserve">；开关热词前后的专名正确率</t>
    </r>
  </si>
  <si>
    <t xml:space="preserve">说话人分离</t>
  </si>
  <si>
    <t xml:space="preserve">区分导游和游客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</si>
  <si>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微软雅黑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组</t>
    </r>
  </si>
  <si>
    <t xml:space="preserve">说话人</t>
  </si>
  <si>
    <t xml:space="preserve">说话人标错的时长比例</t>
  </si>
  <si>
    <t xml:space="preserve">数字、证号、金额规范化</t>
  </si>
  <si>
    <t xml:space="preserve">把口语中的数字、证号、金额转为规范格式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</si>
  <si>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微软雅黑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组</t>
    </r>
  </si>
  <si>
    <t xml:space="preserve">文字内容（规范化后）</t>
  </si>
  <si>
    <t xml:space="preserve">数字、证号、金额的识别正确率</t>
  </si>
  <si>
    <r>
      <rPr>
        <b val="true"/>
        <sz val="10"/>
        <color rgb="FF000000"/>
        <rFont val="Noto Sans CJK SC"/>
        <family val="2"/>
      </rPr>
      <t xml:space="preserve">话术分类（</t>
    </r>
    <r>
      <rPr>
        <b val="true"/>
        <sz val="10"/>
        <color rgb="FF000000"/>
        <rFont val="微软雅黑"/>
        <family val="0"/>
        <charset val="1"/>
      </rPr>
      <t xml:space="preserve">TensorFlow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</si>
  <si>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给每段文字打投诉类别标签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</si>
  <si>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微软雅黑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组、第 </t>
    </r>
    <r>
      <rPr>
        <sz val="10"/>
        <color rgb="FF000000"/>
        <rFont val="微软雅黑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组（对比两种模型）</t>
    </r>
  </si>
  <si>
    <t xml:space="preserve">标签</t>
  </si>
  <si>
    <t xml:space="preserve">各类别的准确率和召回率</t>
  </si>
  <si>
    <t xml:space="preserve">时间戳与证据片段导出</t>
  </si>
  <si>
    <t xml:space="preserve">按时间截取疑似片段并导出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</si>
  <si>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微软雅黑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组（兼测误报率）</t>
    </r>
  </si>
  <si>
    <t xml:space="preserve">（输出片段文件）</t>
  </si>
  <si>
    <t xml:space="preserve">片段起止时间误差；正常讲解被误标为纠纷的比例</t>
  </si>
  <si>
    <t xml:space="preserve">生成核查初稿，人工复核</t>
  </si>
  <si>
    <t xml:space="preserve">汇总为标注“疑似、待核查”的初稿，由人复核</t>
  </si>
  <si>
    <t xml:space="preserve">投诉处理人员（必须）</t>
  </si>
  <si>
    <t xml:space="preserve">灰色底：教师模板或人工环节；白色底：学生小组负责。</t>
  </si>
  <si>
    <t xml:space="preserve">分组分工与测评指标</t>
  </si>
  <si>
    <r>
      <rPr>
        <sz val="10"/>
        <color rgb="FF5F5E5A"/>
        <rFont val="Noto Sans CJK SC"/>
        <family val="2"/>
      </rPr>
      <t xml:space="preserve">每个人都要先完成“写剧本 → 录音 → 校对参考文本 → 算自己录音的 </t>
    </r>
    <r>
      <rPr>
        <sz val="10"/>
        <color rgb="FF5F5E5A"/>
        <rFont val="微软雅黑"/>
        <family val="0"/>
        <charset val="1"/>
      </rPr>
      <t xml:space="preserve">CER”</t>
    </r>
    <r>
      <rPr>
        <sz val="10"/>
        <color rgb="FF5F5E5A"/>
        <rFont val="Noto Sans CJK SC"/>
        <family val="2"/>
      </rPr>
      <t xml:space="preserve">，专项分工在此之上叠加。人数列中哪两组为 </t>
    </r>
    <r>
      <rPr>
        <sz val="10"/>
        <color rgb="FF5F5E5A"/>
        <rFont val="微软雅黑"/>
        <family val="0"/>
        <charset val="1"/>
      </rPr>
      <t xml:space="preserve">5 </t>
    </r>
    <r>
      <rPr>
        <sz val="10"/>
        <color rgb="FF5F5E5A"/>
        <rFont val="Noto Sans CJK SC"/>
        <family val="2"/>
      </rPr>
      <t xml:space="preserve">人是建议值，可按实际调整；组长、组员、状态为待填写项。</t>
    </r>
  </si>
  <si>
    <t xml:space="preserve">组</t>
  </si>
  <si>
    <t xml:space="preserve">人数</t>
  </si>
  <si>
    <t xml:space="preserve">虚构剧本场景</t>
  </si>
  <si>
    <t xml:space="preserve">专项</t>
  </si>
  <si>
    <t xml:space="preserve">对应流程步骤</t>
  </si>
  <si>
    <t xml:space="preserve">主要测评指标</t>
  </si>
  <si>
    <t xml:space="preserve">交付物</t>
  </si>
  <si>
    <t xml:space="preserve">组长</t>
  </si>
  <si>
    <t xml:space="preserve">组员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</si>
  <si>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微软雅黑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组</t>
    </r>
  </si>
  <si>
    <t xml:space="preserve">大巴车上推销土特产</t>
  </si>
  <si>
    <r>
      <rPr>
        <sz val="10"/>
        <color rgb="FF000000"/>
        <rFont val="Noto Sans CJK SC"/>
        <family val="2"/>
      </rPr>
      <t xml:space="preserve">步骤 </t>
    </r>
    <r>
      <rPr>
        <sz val="10"/>
        <color rgb="FF000000"/>
        <rFont val="微软雅黑"/>
        <family val="0"/>
        <charset val="1"/>
      </rPr>
      <t xml:space="preserve">2</t>
    </r>
  </si>
  <si>
    <r>
      <rPr>
        <sz val="10"/>
        <color rgb="FF000000"/>
        <rFont val="Noto Sans CJK SC"/>
        <family val="2"/>
      </rPr>
      <t xml:space="preserve">加噪前后的 </t>
    </r>
    <r>
      <rPr>
        <sz val="10"/>
        <color rgb="FF000000"/>
        <rFont val="微软雅黑"/>
        <family val="0"/>
        <charset val="1"/>
      </rPr>
      <t xml:space="preserve">CER</t>
    </r>
    <r>
      <rPr>
        <sz val="10"/>
        <color rgb="FF000000"/>
        <rFont val="Noto Sans CJK SC"/>
        <family val="2"/>
      </rPr>
      <t xml:space="preserve">；切段是否漏掉人声</t>
    </r>
  </si>
  <si>
    <r>
      <rPr>
        <sz val="10"/>
        <color rgb="FF000000"/>
        <rFont val="Noto Sans CJK SC"/>
        <family val="2"/>
      </rPr>
      <t xml:space="preserve">基础结果 </t>
    </r>
    <r>
      <rPr>
        <sz val="10"/>
        <color rgb="FF000000"/>
        <rFont val="微软雅黑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改进后结果 </t>
    </r>
    <r>
      <rPr>
        <sz val="10"/>
        <color rgb="FF000000"/>
        <rFont val="微软雅黑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对比数据</t>
    </r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</si>
  <si>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微软雅黑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组</t>
    </r>
  </si>
  <si>
    <t xml:space="preserve">购物店“包厢式”推销</t>
  </si>
  <si>
    <t xml:space="preserve">远距离、手机放口袋时的识别</t>
  </si>
  <si>
    <r>
      <rPr>
        <sz val="10"/>
        <color rgb="FF000000"/>
        <rFont val="Noto Sans CJK SC"/>
        <family val="2"/>
      </rPr>
      <t xml:space="preserve">不同录音位置之间的 </t>
    </r>
    <r>
      <rPr>
        <sz val="10"/>
        <color rgb="FF000000"/>
        <rFont val="微软雅黑"/>
        <family val="0"/>
        <charset val="1"/>
      </rPr>
      <t xml:space="preserve">CER </t>
    </r>
    <r>
      <rPr>
        <sz val="10"/>
        <color rgb="FF000000"/>
        <rFont val="Noto Sans CJK SC"/>
        <family val="2"/>
      </rPr>
      <t xml:space="preserve">差距</t>
    </r>
  </si>
  <si>
    <t xml:space="preserve">擅自变更行程</t>
  </si>
  <si>
    <t xml:space="preserve">说话人分离（区分导游与游客）</t>
  </si>
  <si>
    <r>
      <rPr>
        <sz val="10"/>
        <color rgb="FF000000"/>
        <rFont val="Noto Sans CJK SC"/>
        <family val="2"/>
      </rPr>
      <t xml:space="preserve">步骤 </t>
    </r>
    <r>
      <rPr>
        <sz val="10"/>
        <color rgb="FF000000"/>
        <rFont val="微软雅黑"/>
        <family val="0"/>
        <charset val="1"/>
      </rPr>
      <t xml:space="preserve">4</t>
    </r>
  </si>
  <si>
    <t xml:space="preserve">自费项目费用纠纷</t>
  </si>
  <si>
    <t xml:space="preserve">数字、证号、金额的识别与规范化</t>
  </si>
  <si>
    <r>
      <rPr>
        <sz val="10"/>
        <color rgb="FF000000"/>
        <rFont val="Noto Sans CJK SC"/>
        <family val="2"/>
      </rPr>
      <t xml:space="preserve">步骤 </t>
    </r>
    <r>
      <rPr>
        <sz val="10"/>
        <color rgb="FF000000"/>
        <rFont val="微软雅黑"/>
        <family val="0"/>
        <charset val="1"/>
      </rPr>
      <t xml:space="preserve">5</t>
    </r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</si>
  <si>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微软雅黑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组</t>
    </r>
  </si>
  <si>
    <t xml:space="preserve">兜售物品、索要小费</t>
  </si>
  <si>
    <t xml:space="preserve">热词（虚构的旅行社名、店名、行话）</t>
  </si>
  <si>
    <r>
      <rPr>
        <sz val="10"/>
        <color rgb="FF000000"/>
        <rFont val="Noto Sans CJK SC"/>
        <family val="2"/>
      </rPr>
      <t xml:space="preserve">步骤 </t>
    </r>
    <r>
      <rPr>
        <sz val="10"/>
        <color rgb="FF000000"/>
        <rFont val="微软雅黑"/>
        <family val="0"/>
        <charset val="1"/>
      </rPr>
      <t xml:space="preserve">3</t>
    </r>
  </si>
  <si>
    <t xml:space="preserve">开关热词前后的专名正确率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</si>
  <si>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微软雅黑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组</t>
    </r>
  </si>
  <si>
    <t xml:space="preserve">言语施压、强迫消费（措辞温和）</t>
  </si>
  <si>
    <r>
      <rPr>
        <sz val="10"/>
        <color rgb="FF000000"/>
        <rFont val="微软雅黑"/>
        <family val="0"/>
        <charset val="1"/>
      </rPr>
      <t xml:space="preserve">TensorFlow </t>
    </r>
    <r>
      <rPr>
        <sz val="10"/>
        <color rgb="FF000000"/>
        <rFont val="Noto Sans CJK SC"/>
        <family val="2"/>
      </rPr>
      <t xml:space="preserve">话术分类（模型 </t>
    </r>
    <r>
      <rPr>
        <sz val="10"/>
        <color rgb="FF000000"/>
        <rFont val="微软雅黑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</si>
  <si>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步骤 </t>
    </r>
    <r>
      <rPr>
        <sz val="10"/>
        <color rgb="FF000000"/>
        <rFont val="微软雅黑"/>
        <family val="0"/>
        <charset val="1"/>
      </rPr>
      <t xml:space="preserve">6</t>
    </r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</si>
  <si>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微软雅黑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组</t>
    </r>
  </si>
  <si>
    <t xml:space="preserve">服务态度纠纷</t>
  </si>
  <si>
    <r>
      <rPr>
        <sz val="10"/>
        <color rgb="FF000000"/>
        <rFont val="微软雅黑"/>
        <family val="0"/>
        <charset val="1"/>
      </rPr>
      <t xml:space="preserve">TensorFlow </t>
    </r>
    <r>
      <rPr>
        <sz val="10"/>
        <color rgb="FF000000"/>
        <rFont val="Noto Sans CJK SC"/>
        <family val="2"/>
      </rPr>
      <t xml:space="preserve">话术分类（模型 </t>
    </r>
    <r>
      <rPr>
        <sz val="10"/>
        <color rgb="FF000000"/>
        <rFont val="微软雅黑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</si>
  <si>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各类别的准确率和召回率，并与第 </t>
    </r>
    <r>
      <rPr>
        <sz val="10"/>
        <color rgb="FF000000"/>
        <rFont val="微软雅黑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组对比</t>
    </r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</si>
  <si>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微软雅黑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组</t>
    </r>
  </si>
  <si>
    <t xml:space="preserve">正常讲解（对照组，无纠纷）</t>
  </si>
  <si>
    <t xml:space="preserve">时间戳对齐、证据片段导出、误报率测量</t>
  </si>
  <si>
    <r>
      <rPr>
        <sz val="10"/>
        <color rgb="FF000000"/>
        <rFont val="Noto Sans CJK SC"/>
        <family val="2"/>
      </rPr>
      <t xml:space="preserve">步骤 </t>
    </r>
    <r>
      <rPr>
        <sz val="10"/>
        <color rgb="FF000000"/>
        <rFont val="微软雅黑"/>
        <family val="0"/>
        <charset val="1"/>
      </rPr>
      <t xml:space="preserve">7</t>
    </r>
  </si>
  <si>
    <t xml:space="preserve">合计</t>
  </si>
  <si>
    <t xml:space="preserve">数据需求估算</t>
  </si>
  <si>
    <t xml:space="preserve">录音主要用于测评，不用于从零训练识别模型。蓝色数字为可调整的参数（来自讨论中的建议值），黑色为公式计算结果，绿色为引用其他工作表。</t>
  </si>
  <si>
    <t xml:space="preserve">参数</t>
  </si>
  <si>
    <t xml:space="preserve">数值</t>
  </si>
  <si>
    <t xml:space="preserve">单位</t>
  </si>
  <si>
    <t xml:space="preserve">说明</t>
  </si>
  <si>
    <t xml:space="preserve">班级人数</t>
  </si>
  <si>
    <t xml:space="preserve">人</t>
  </si>
  <si>
    <t xml:space="preserve">用户提供</t>
  </si>
  <si>
    <t xml:space="preserve">小组数</t>
  </si>
  <si>
    <t xml:space="preserve">自动统计“分组分工”工作表</t>
  </si>
  <si>
    <t xml:space="preserve">每组剧本数</t>
  </si>
  <si>
    <t xml:space="preserve">个</t>
  </si>
  <si>
    <t xml:space="preserve">建议值</t>
  </si>
  <si>
    <t xml:space="preserve">每个剧本时长（下限）</t>
  </si>
  <si>
    <t xml:space="preserve">分钟</t>
  </si>
  <si>
    <r>
      <rPr>
        <sz val="10"/>
        <color rgb="FF000000"/>
        <rFont val="Noto Sans CJK SC"/>
        <family val="2"/>
      </rPr>
      <t xml:space="preserve">建议 </t>
    </r>
    <r>
      <rPr>
        <sz val="10"/>
        <color rgb="FF000000"/>
        <rFont val="微软雅黑"/>
        <family val="0"/>
        <charset val="1"/>
      </rPr>
      <t xml:space="preserve">3—5 </t>
    </r>
    <r>
      <rPr>
        <sz val="10"/>
        <color rgb="FF000000"/>
        <rFont val="Noto Sans CJK SC"/>
        <family val="2"/>
      </rPr>
      <t xml:space="preserve">分钟</t>
    </r>
  </si>
  <si>
    <t xml:space="preserve">每个剧本时长（上限）</t>
  </si>
  <si>
    <t xml:space="preserve">录音条件数</t>
  </si>
  <si>
    <t xml:space="preserve">种</t>
  </si>
  <si>
    <t xml:space="preserve">安静、嘈杂教室、手机放口袋或远距离</t>
  </si>
  <si>
    <t xml:space="preserve">话术类别数</t>
  </si>
  <si>
    <t xml:space="preserve">类</t>
  </si>
  <si>
    <t xml:space="preserve">购物安排、费用、行程变更、服务态度、威胁消费、正常讲解</t>
  </si>
  <si>
    <t xml:space="preserve">每类句数（下限）</t>
  </si>
  <si>
    <t xml:space="preserve">句</t>
  </si>
  <si>
    <r>
      <rPr>
        <sz val="10"/>
        <color rgb="FF000000"/>
        <rFont val="Noto Sans CJK SC"/>
        <family val="2"/>
      </rPr>
      <t xml:space="preserve">建议每类 </t>
    </r>
    <r>
      <rPr>
        <sz val="10"/>
        <color rgb="FF000000"/>
        <rFont val="微软雅黑"/>
        <family val="0"/>
        <charset val="1"/>
      </rPr>
      <t xml:space="preserve">150—200 </t>
    </r>
    <r>
      <rPr>
        <sz val="10"/>
        <color rgb="FF000000"/>
        <rFont val="Noto Sans CJK SC"/>
        <family val="2"/>
      </rPr>
      <t xml:space="preserve">句</t>
    </r>
  </si>
  <si>
    <t xml:space="preserve">每类句数（上限）</t>
  </si>
  <si>
    <t xml:space="preserve">每人编写句数</t>
  </si>
  <si>
    <r>
      <rPr>
        <sz val="10"/>
        <color rgb="FF000000"/>
        <rFont val="Noto Sans CJK SC"/>
        <family val="2"/>
      </rPr>
      <t xml:space="preserve">每人写 </t>
    </r>
    <r>
      <rPr>
        <sz val="10"/>
        <color rgb="FF000000"/>
        <rFont val="微软雅黑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句不同说法，可用 </t>
    </r>
    <r>
      <rPr>
        <sz val="10"/>
        <color rgb="FF000000"/>
        <rFont val="微软雅黑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改写扩充，须人工审核</t>
    </r>
  </si>
  <si>
    <t xml:space="preserve">每组精细标注时长</t>
  </si>
  <si>
    <t xml:space="preserve">标出谁在什么时间说话，用于测说话人分离</t>
  </si>
  <si>
    <t xml:space="preserve">计算结果</t>
  </si>
  <si>
    <t xml:space="preserve">下限</t>
  </si>
  <si>
    <t xml:space="preserve">上限</t>
  </si>
  <si>
    <t xml:space="preserve">计算方式</t>
  </si>
  <si>
    <t xml:space="preserve">每组测评录音（分钟）</t>
  </si>
  <si>
    <r>
      <rPr>
        <sz val="10"/>
        <color rgb="FF000000"/>
        <rFont val="Noto Sans CJK SC"/>
        <family val="2"/>
      </rPr>
      <t xml:space="preserve">每组剧本数 </t>
    </r>
    <r>
      <rPr>
        <sz val="10"/>
        <color rgb="FF000000"/>
        <rFont val="微软雅黑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每个剧本时长 </t>
    </r>
    <r>
      <rPr>
        <sz val="10"/>
        <color rgb="FF000000"/>
        <rFont val="微软雅黑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录音条件数</t>
    </r>
  </si>
  <si>
    <t xml:space="preserve">全班测评录音（小时）</t>
  </si>
  <si>
    <r>
      <rPr>
        <sz val="10"/>
        <color rgb="FF000000"/>
        <rFont val="Noto Sans CJK SC"/>
        <family val="2"/>
      </rPr>
      <t xml:space="preserve">每组录音 </t>
    </r>
    <r>
      <rPr>
        <sz val="10"/>
        <color rgb="FF000000"/>
        <rFont val="微软雅黑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小组数 </t>
    </r>
    <r>
      <rPr>
        <sz val="10"/>
        <color rgb="FF000000"/>
        <rFont val="微软雅黑"/>
        <family val="0"/>
        <charset val="1"/>
      </rPr>
      <t xml:space="preserve">÷ 60</t>
    </r>
  </si>
  <si>
    <t xml:space="preserve">话术分类所需句数</t>
  </si>
  <si>
    <r>
      <rPr>
        <sz val="10"/>
        <color rgb="FF000000"/>
        <rFont val="Noto Sans CJK SC"/>
        <family val="2"/>
      </rPr>
      <t xml:space="preserve">话术类别数 </t>
    </r>
    <r>
      <rPr>
        <sz val="10"/>
        <color rgb="FF000000"/>
        <rFont val="微软雅黑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每类句数</t>
    </r>
  </si>
  <si>
    <t xml:space="preserve">全班可编写句数</t>
  </si>
  <si>
    <r>
      <rPr>
        <sz val="10"/>
        <color rgb="FF000000"/>
        <rFont val="Noto Sans CJK SC"/>
        <family val="2"/>
      </rPr>
      <t xml:space="preserve">每人编写句数 </t>
    </r>
    <r>
      <rPr>
        <sz val="10"/>
        <color rgb="FF000000"/>
        <rFont val="微软雅黑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班级人数</t>
    </r>
  </si>
  <si>
    <t xml:space="preserve">句数是否够用</t>
  </si>
  <si>
    <t xml:space="preserve">比较可编写句数与所需句数</t>
  </si>
  <si>
    <t xml:space="preserve">精细标注总时长（分钟）</t>
  </si>
  <si>
    <r>
      <rPr>
        <sz val="10"/>
        <color rgb="FF000000"/>
        <rFont val="Noto Sans CJK SC"/>
        <family val="2"/>
      </rPr>
      <t xml:space="preserve">每组精细标注时长 </t>
    </r>
    <r>
      <rPr>
        <sz val="10"/>
        <color rgb="FF000000"/>
        <rFont val="微软雅黑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小组数</t>
    </r>
  </si>
  <si>
    <t xml:space="preserve">环节</t>
  </si>
  <si>
    <t xml:space="preserve">形式</t>
  </si>
  <si>
    <t xml:space="preserve">时间</t>
  </si>
  <si>
    <t xml:space="preserve">剧本写作</t>
  </si>
  <si>
    <t xml:space="preserve">课外</t>
  </si>
  <si>
    <t xml:space="preserve">约一周</t>
  </si>
  <si>
    <t xml:space="preserve">名字一律虚构；只写商业纠纷，不写侮辱性、地域或民族类言论</t>
  </si>
  <si>
    <t xml:space="preserve">录音</t>
  </si>
  <si>
    <t xml:space="preserve">课内</t>
  </si>
  <si>
    <r>
      <rPr>
        <sz val="10"/>
        <color rgb="FF000000"/>
        <rFont val="Noto Sans CJK SC"/>
        <family val="2"/>
      </rPr>
      <t xml:space="preserve">一次课（</t>
    </r>
    <r>
      <rPr>
        <sz val="10"/>
        <color rgb="FF000000"/>
        <rFont val="微软雅黑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学时）</t>
    </r>
  </si>
  <si>
    <r>
      <rPr>
        <sz val="10"/>
        <color rgb="FF000000"/>
        <rFont val="Noto Sans CJK SC"/>
        <family val="2"/>
      </rPr>
      <t xml:space="preserve">统一录音 </t>
    </r>
    <r>
      <rPr>
        <sz val="10"/>
        <color rgb="FF000000"/>
        <rFont val="微软雅黑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微软雅黑"/>
        <family val="0"/>
        <charset val="1"/>
      </rPr>
      <t xml:space="preserve">16kHz </t>
    </r>
    <r>
      <rPr>
        <sz val="10"/>
        <color rgb="FF000000"/>
        <rFont val="Noto Sans CJK SC"/>
        <family val="2"/>
      </rPr>
      <t xml:space="preserve">单声道，统一命名规则；允许即兴、打断、带情绪</t>
    </r>
  </si>
  <si>
    <t xml:space="preserve">校对参考文本</t>
  </si>
  <si>
    <t xml:space="preserve">对照录音修正，以实际说了什么为准</t>
  </si>
  <si>
    <t xml:space="preserve">每段文字都记录以下五个字段，各组模块按这个格式读入和输出，这样可以独立开发、最后串联。示例列仅用于说明格式。</t>
  </si>
  <si>
    <t xml:space="preserve">字段</t>
  </si>
  <si>
    <t xml:space="preserve">由哪一步写入</t>
  </si>
  <si>
    <t xml:space="preserve">开始时间（秒）</t>
  </si>
  <si>
    <t xml:space="preserve">该段在录音中的起点</t>
  </si>
  <si>
    <t xml:space="preserve">12.4</t>
  </si>
  <si>
    <r>
      <rPr>
        <sz val="10"/>
        <color rgb="FF000000"/>
        <rFont val="Noto Sans CJK SC"/>
        <family val="2"/>
      </rPr>
      <t xml:space="preserve">步骤 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微软雅黑"/>
        <family val="0"/>
        <charset val="1"/>
      </rPr>
      <t xml:space="preserve">3</t>
    </r>
  </si>
  <si>
    <t xml:space="preserve">结束时间（秒）</t>
  </si>
  <si>
    <t xml:space="preserve">该段在录音中的终点</t>
  </si>
  <si>
    <t xml:space="preserve">18.9</t>
  </si>
  <si>
    <t xml:space="preserve">导游、游客或未知</t>
  </si>
  <si>
    <t xml:space="preserve">导游</t>
  </si>
  <si>
    <t xml:space="preserve">识别并规范化后的文字</t>
  </si>
  <si>
    <r>
      <rPr>
        <sz val="10"/>
        <color rgb="FF000000"/>
        <rFont val="Noto Sans CJK SC"/>
        <family val="2"/>
      </rPr>
      <t xml:space="preserve">这个手镯今天优惠价 </t>
    </r>
    <r>
      <rPr>
        <sz val="10"/>
        <color rgb="FF000000"/>
        <rFont val="微软雅黑"/>
        <family val="0"/>
        <charset val="1"/>
      </rPr>
      <t xml:space="preserve">2800 </t>
    </r>
    <r>
      <rPr>
        <sz val="10"/>
        <color rgb="FF000000"/>
        <rFont val="Noto Sans CJK SC"/>
        <family val="2"/>
      </rPr>
      <t xml:space="preserve">元</t>
    </r>
  </si>
  <si>
    <r>
      <rPr>
        <sz val="10"/>
        <color rgb="FF000000"/>
        <rFont val="Noto Sans CJK SC"/>
        <family val="2"/>
      </rPr>
      <t xml:space="preserve">步骤 </t>
    </r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微软雅黑"/>
        <family val="0"/>
        <charset val="1"/>
      </rPr>
      <t xml:space="preserve">5</t>
    </r>
  </si>
  <si>
    <t xml:space="preserve">投诉类别，一律标为“疑似”</t>
  </si>
  <si>
    <r>
      <rPr>
        <sz val="10"/>
        <color rgb="FF000000"/>
        <rFont val="Noto Sans CJK SC"/>
        <family val="2"/>
      </rPr>
      <t xml:space="preserve">疑似</t>
    </r>
    <r>
      <rPr>
        <sz val="10"/>
        <color rgb="FF000000"/>
        <rFont val="微软雅黑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费用</t>
    </r>
  </si>
  <si>
    <t xml:space="preserve">贯穿全程的规则</t>
  </si>
  <si>
    <t xml:space="preserve">规则</t>
  </si>
  <si>
    <r>
      <rPr>
        <sz val="10"/>
        <color rgb="FF000000"/>
        <rFont val="Noto Sans CJK SC"/>
        <family val="2"/>
      </rPr>
      <t xml:space="preserve">每个人都要完成“写剧本、录音、校对参考文本、算自己录音的 </t>
    </r>
    <r>
      <rPr>
        <sz val="10"/>
        <color rgb="FF000000"/>
        <rFont val="微软雅黑"/>
        <family val="0"/>
        <charset val="1"/>
      </rPr>
      <t xml:space="preserve">CER”</t>
    </r>
    <r>
      <rPr>
        <sz val="10"/>
        <color rgb="FF000000"/>
        <rFont val="Noto Sans CJK SC"/>
        <family val="2"/>
      </rPr>
      <t xml:space="preserve">，专项分工是在这之上叠加的。</t>
    </r>
  </si>
  <si>
    <r>
      <rPr>
        <sz val="10"/>
        <color rgb="FF000000"/>
        <rFont val="Noto Sans CJK SC"/>
        <family val="2"/>
      </rPr>
      <t xml:space="preserve">每组的交付都是“基础结果 </t>
    </r>
    <r>
      <rPr>
        <sz val="10"/>
        <color rgb="FF000000"/>
        <rFont val="微软雅黑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改进后结果 </t>
    </r>
    <r>
      <rPr>
        <sz val="10"/>
        <color rgb="FF000000"/>
        <rFont val="微软雅黑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对比数据”，不要求在真实场景中好用。</t>
    </r>
  </si>
  <si>
    <t xml:space="preserve">核查初稿一律标为“疑似、待核查”，最后一步人工复核不能省。</t>
  </si>
  <si>
    <t xml:space="preserve">各组模块都按“统一中间格式”读入和输出，可以独立开发，最后由教师串联。</t>
  </si>
  <si>
    <t xml:space="preserve">录音和标注全部进入共享数据池，由教师统一管理；各组专项都用全池数据测试，不只测本组录音。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</si>
</sst>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"/>
    <numFmt numFmtId="167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6E56"/>
      <name val="Noto Sans CJK SC"/>
      <family val="2"/>
    </font>
    <font>
      <b val="true"/>
      <sz val="14"/>
      <color rgb="FF0F6E56"/>
      <name val="微软雅黑"/>
      <family val="0"/>
      <charset val="1"/>
    </font>
    <font>
      <b val="true"/>
      <sz val="10"/>
      <color rgb="FF000000"/>
      <name val="Noto Sans CJK SC"/>
      <family val="2"/>
    </font>
    <font>
      <sz val="10"/>
      <color rgb="FF000000"/>
      <name val="微软雅黑"/>
      <family val="0"/>
      <charset val="1"/>
    </font>
    <font>
      <sz val="10"/>
      <color rgb="FF000000"/>
      <name val="Noto Sans CJK SC"/>
      <family val="2"/>
    </font>
    <font>
      <b val="true"/>
      <sz val="10"/>
      <color rgb="FFFFFFFF"/>
      <name val="Noto Sans CJK SC"/>
      <family val="2"/>
    </font>
    <font>
      <sz val="10"/>
      <color rgb="FF0000FF"/>
      <name val="微软雅黑"/>
      <family val="0"/>
      <charset val="1"/>
    </font>
    <font>
      <sz val="10"/>
      <color rgb="FF008000"/>
      <name val="微软雅黑"/>
      <family val="0"/>
      <charset val="1"/>
    </font>
    <font>
      <sz val="10"/>
      <color rgb="FF5F5E5A"/>
      <name val="微软雅黑"/>
      <family val="0"/>
      <charset val="1"/>
    </font>
    <font>
      <sz val="10"/>
      <color rgb="FF5F5E5A"/>
      <name val="Noto Sans CJK SC"/>
      <family val="2"/>
    </font>
    <font>
      <b val="true"/>
      <sz val="10"/>
      <color rgb="FFFFFFFF"/>
      <name val="微软雅黑"/>
      <family val="0"/>
      <charset val="1"/>
    </font>
    <font>
      <b val="true"/>
      <sz val="10"/>
      <color rgb="FF000000"/>
      <name val="微软雅黑"/>
      <family val="0"/>
      <charset val="1"/>
    </font>
    <font>
      <sz val="10"/>
      <color rgb="FF008000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E1F5EE"/>
        <bgColor rgb="FFF1EFE8"/>
      </patternFill>
    </fill>
    <fill>
      <patternFill patternType="solid">
        <fgColor rgb="FF0F6E56"/>
        <bgColor rgb="FF008080"/>
      </patternFill>
    </fill>
    <fill>
      <patternFill patternType="solid">
        <fgColor rgb="FFFFF2CC"/>
        <bgColor rgb="FFF1EFE8"/>
      </patternFill>
    </fill>
    <fill>
      <patternFill patternType="solid">
        <fgColor rgb="FFF1EFE8"/>
        <bgColor rgb="FFE1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2A9"/>
      </left>
      <right style="thin">
        <color rgb="FFB4B2A9"/>
      </right>
      <top style="thin">
        <color rgb="FFB4B2A9"/>
      </top>
      <bottom style="thin">
        <color rgb="FFB4B2A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B4B2A9"/>
      <rgbColor rgb="FF808080"/>
      <rgbColor rgb="FF9999FF"/>
      <rgbColor rgb="FF993366"/>
      <rgbColor rgb="FFFFF2CC"/>
      <rgbColor rgb="FFE1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FE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6"/>
    <col collapsed="false" customWidth="true" hidden="false" outlineLevel="0" max="3" min="3" style="0" width="16"/>
  </cols>
  <sheetData>
    <row r="1" customFormat="false" ht="25.5" hidden="false" customHeight="true" outlineLevel="0" collapsed="false">
      <c r="A1" s="1" t="s">
        <v>0</v>
      </c>
    </row>
    <row r="3" customFormat="false" ht="21" hidden="false" customHeight="true" outlineLevel="0" collapsed="false">
      <c r="A3" s="2" t="s">
        <v>1</v>
      </c>
      <c r="B3" s="3" t="s">
        <v>2</v>
      </c>
      <c r="C3" s="3"/>
    </row>
    <row r="4" customFormat="false" ht="21" hidden="false" customHeight="true" outlineLevel="0" collapsed="false">
      <c r="A4" s="2" t="s">
        <v>3</v>
      </c>
      <c r="B4" s="4" t="s">
        <v>4</v>
      </c>
      <c r="C4" s="4"/>
    </row>
    <row r="5" customFormat="false" ht="21" hidden="false" customHeight="true" outlineLevel="0" collapsed="false">
      <c r="A5" s="2" t="s">
        <v>5</v>
      </c>
      <c r="B5" s="4" t="s">
        <v>6</v>
      </c>
      <c r="C5" s="4"/>
    </row>
    <row r="7" customFormat="false" ht="30" hidden="false" customHeight="true" outlineLevel="0" collapsed="false">
      <c r="A7" s="5" t="s">
        <v>7</v>
      </c>
      <c r="B7" s="5" t="s">
        <v>8</v>
      </c>
      <c r="C7" s="5"/>
    </row>
    <row r="8" customFormat="false" ht="21" hidden="false" customHeight="true" outlineLevel="0" collapsed="false">
      <c r="A8" s="6" t="s">
        <v>9</v>
      </c>
      <c r="B8" s="4" t="s">
        <v>10</v>
      </c>
      <c r="C8" s="4"/>
    </row>
    <row r="9" customFormat="false" ht="21" hidden="false" customHeight="true" outlineLevel="0" collapsed="false">
      <c r="A9" s="6" t="s">
        <v>11</v>
      </c>
      <c r="B9" s="4" t="s">
        <v>12</v>
      </c>
      <c r="C9" s="4"/>
    </row>
    <row r="10" customFormat="false" ht="36" hidden="false" customHeight="true" outlineLevel="0" collapsed="false">
      <c r="A10" s="6" t="s">
        <v>13</v>
      </c>
      <c r="B10" s="3" t="s">
        <v>14</v>
      </c>
      <c r="C10" s="3"/>
    </row>
    <row r="11" customFormat="false" ht="21" hidden="false" customHeight="true" outlineLevel="0" collapsed="false">
      <c r="A11" s="6" t="s">
        <v>15</v>
      </c>
      <c r="B11" s="4" t="s">
        <v>16</v>
      </c>
      <c r="C11" s="4"/>
    </row>
    <row r="12" customFormat="false" ht="21" hidden="false" customHeight="true" outlineLevel="0" collapsed="false">
      <c r="A12" s="6" t="s">
        <v>17</v>
      </c>
      <c r="B12" s="4" t="s">
        <v>18</v>
      </c>
      <c r="C12" s="4"/>
    </row>
    <row r="13" customFormat="false" ht="21" hidden="false" customHeight="true" outlineLevel="0" collapsed="false">
      <c r="A13" s="6" t="s">
        <v>19</v>
      </c>
      <c r="B13" s="4" t="s">
        <v>20</v>
      </c>
      <c r="C13" s="4"/>
    </row>
    <row r="15" customFormat="false" ht="30" hidden="false" customHeight="true" outlineLevel="0" collapsed="false">
      <c r="A15" s="5" t="s">
        <v>21</v>
      </c>
      <c r="B15" s="5" t="s">
        <v>22</v>
      </c>
      <c r="C15" s="5" t="s">
        <v>23</v>
      </c>
    </row>
    <row r="16" customFormat="false" ht="21" hidden="false" customHeight="true" outlineLevel="0" collapsed="false">
      <c r="A16" s="6" t="s">
        <v>24</v>
      </c>
      <c r="B16" s="4" t="s">
        <v>25</v>
      </c>
      <c r="C16" s="7" t="s">
        <v>26</v>
      </c>
    </row>
    <row r="17" customFormat="false" ht="21" hidden="false" customHeight="true" outlineLevel="0" collapsed="false">
      <c r="A17" s="6" t="s">
        <v>27</v>
      </c>
      <c r="B17" s="4" t="s">
        <v>28</v>
      </c>
      <c r="C17" s="8" t="s">
        <v>29</v>
      </c>
    </row>
    <row r="18" customFormat="false" ht="21" hidden="false" customHeight="true" outlineLevel="0" collapsed="false">
      <c r="A18" s="6" t="s">
        <v>30</v>
      </c>
      <c r="B18" s="4" t="s">
        <v>31</v>
      </c>
      <c r="C18" s="9" t="s">
        <v>32</v>
      </c>
    </row>
    <row r="19" customFormat="false" ht="21" hidden="false" customHeight="true" outlineLevel="0" collapsed="false">
      <c r="A19" s="6" t="s">
        <v>33</v>
      </c>
      <c r="B19" s="4" t="s">
        <v>34</v>
      </c>
      <c r="C19" s="10" t="s">
        <v>35</v>
      </c>
    </row>
    <row r="20" customFormat="false" ht="21" hidden="false" customHeight="true" outlineLevel="0" collapsed="false">
      <c r="A20" s="6" t="s">
        <v>36</v>
      </c>
      <c r="B20" s="4" t="s">
        <v>37</v>
      </c>
      <c r="C20" s="11"/>
    </row>
    <row r="22" customFormat="false" ht="15" hidden="false" customHeight="false" outlineLevel="0" collapsed="false">
      <c r="A22" s="12" t="s">
        <v>38</v>
      </c>
    </row>
    <row r="23" customFormat="false" ht="21" hidden="false" customHeight="true" outlineLevel="0" collapsed="false">
      <c r="A23" s="13" t="s">
        <v>39</v>
      </c>
      <c r="B23" s="13"/>
      <c r="C23" s="13"/>
    </row>
    <row r="25" customFormat="false" ht="15" hidden="false" customHeight="false" outlineLevel="0" collapsed="false">
      <c r="A25" s="12" t="s">
        <v>40</v>
      </c>
    </row>
    <row r="26" customFormat="false" ht="66" hidden="false" customHeight="true" outlineLevel="0" collapsed="false">
      <c r="A26" s="14" t="s">
        <v>41</v>
      </c>
      <c r="B26" s="14"/>
      <c r="C26" s="14"/>
    </row>
  </sheetData>
  <mergeCells count="12">
    <mergeCell ref="B3:C3"/>
    <mergeCell ref="B4:C4"/>
    <mergeCell ref="B5:C5"/>
    <mergeCell ref="B7:C7"/>
    <mergeCell ref="B8:C8"/>
    <mergeCell ref="B9:C9"/>
    <mergeCell ref="B10:C10"/>
    <mergeCell ref="B11:C11"/>
    <mergeCell ref="B12:C12"/>
    <mergeCell ref="B13:C13"/>
    <mergeCell ref="A23:C23"/>
    <mergeCell ref="A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9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6" min="5" style="0" width="7"/>
    <col collapsed="false" customWidth="true" hidden="false" outlineLevel="0" max="7" min="7" style="0" width="8"/>
    <col collapsed="false" customWidth="true" hidden="false" outlineLevel="0" max="9" min="8" style="0" width="7"/>
    <col collapsed="false" customWidth="true" hidden="false" outlineLevel="0" max="10" min="10" style="0" width="8"/>
    <col collapsed="false" customWidth="true" hidden="false" outlineLevel="0" max="12" min="11" style="0" width="7"/>
    <col collapsed="false" customWidth="true" hidden="false" outlineLevel="0" max="13" min="13" style="0" width="8"/>
    <col collapsed="false" customWidth="true" hidden="false" outlineLevel="0" max="14" min="14" style="0" width="20"/>
    <col collapsed="false" customWidth="true" hidden="false" outlineLevel="0" max="15" min="15" style="0" width="9"/>
    <col collapsed="false" customWidth="true" hidden="false" outlineLevel="0" max="16" min="16" style="0" width="24"/>
  </cols>
  <sheetData>
    <row r="1" customFormat="false" ht="25.5" hidden="false" customHeight="true" outlineLevel="0" collapsed="false">
      <c r="A1" s="1" t="s">
        <v>42</v>
      </c>
    </row>
    <row r="2" customFormat="false" ht="36" hidden="false" customHeight="true" outlineLevel="0" collapsed="false">
      <c r="A2" s="15" t="s">
        <v>43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4" customFormat="false" ht="21.75" hidden="false" customHeight="true" outlineLevel="0" collapsed="false">
      <c r="A4" s="5" t="s">
        <v>44</v>
      </c>
      <c r="B4" s="5" t="s">
        <v>45</v>
      </c>
      <c r="C4" s="5" t="s">
        <v>46</v>
      </c>
      <c r="D4" s="5" t="s">
        <v>47</v>
      </c>
      <c r="E4" s="16" t="s">
        <v>48</v>
      </c>
      <c r="F4" s="16"/>
      <c r="G4" s="16"/>
      <c r="H4" s="16" t="s">
        <v>49</v>
      </c>
      <c r="I4" s="16"/>
      <c r="J4" s="16"/>
      <c r="K4" s="16" t="s">
        <v>50</v>
      </c>
      <c r="L4" s="16"/>
      <c r="M4" s="16"/>
      <c r="N4" s="5" t="s">
        <v>51</v>
      </c>
      <c r="O4" s="5" t="s">
        <v>52</v>
      </c>
      <c r="P4" s="5" t="s">
        <v>53</v>
      </c>
    </row>
    <row r="5" customFormat="false" ht="21.75" hidden="false" customHeight="true" outlineLevel="0" collapsed="false">
      <c r="A5" s="5"/>
      <c r="B5" s="5"/>
      <c r="C5" s="5"/>
      <c r="D5" s="5"/>
      <c r="E5" s="5" t="s">
        <v>54</v>
      </c>
      <c r="F5" s="5" t="s">
        <v>55</v>
      </c>
      <c r="G5" s="5" t="s">
        <v>56</v>
      </c>
      <c r="H5" s="5" t="s">
        <v>54</v>
      </c>
      <c r="I5" s="5" t="s">
        <v>55</v>
      </c>
      <c r="J5" s="5" t="s">
        <v>56</v>
      </c>
      <c r="K5" s="5" t="s">
        <v>54</v>
      </c>
      <c r="L5" s="5" t="s">
        <v>55</v>
      </c>
      <c r="M5" s="5" t="s">
        <v>56</v>
      </c>
      <c r="N5" s="5"/>
      <c r="O5" s="5"/>
      <c r="P5" s="5"/>
    </row>
    <row r="6" customFormat="false" ht="66" hidden="false" customHeight="true" outlineLevel="0" collapsed="false">
      <c r="A6" s="9" t="n">
        <v>1</v>
      </c>
      <c r="B6" s="6" t="s">
        <v>57</v>
      </c>
      <c r="C6" s="4" t="s">
        <v>58</v>
      </c>
      <c r="D6" s="17" t="s">
        <v>59</v>
      </c>
      <c r="E6" s="8" t="n">
        <v>0</v>
      </c>
      <c r="F6" s="8" t="n">
        <v>0</v>
      </c>
      <c r="G6" s="9" t="str">
        <f aca="false">IF(E6=0,"开课前",F6-E6+1)</f>
        <v>开课前</v>
      </c>
      <c r="H6" s="8" t="n">
        <v>0</v>
      </c>
      <c r="I6" s="8" t="n">
        <v>0</v>
      </c>
      <c r="J6" s="9" t="str">
        <f aca="false">IF(H6=0,"开课前",I6-H6+1)</f>
        <v>开课前</v>
      </c>
      <c r="K6" s="8" t="n">
        <v>0</v>
      </c>
      <c r="L6" s="8" t="n">
        <v>0</v>
      </c>
      <c r="M6" s="9" t="str">
        <f aca="false">IF(K6=0,"开课前",L6-K6+1)</f>
        <v>开课前</v>
      </c>
      <c r="N6" s="4" t="s">
        <v>60</v>
      </c>
      <c r="O6" s="7" t="s">
        <v>61</v>
      </c>
      <c r="P6" s="4" t="s">
        <v>62</v>
      </c>
    </row>
    <row r="7" customFormat="false" ht="36" hidden="false" customHeight="true" outlineLevel="0" collapsed="false">
      <c r="A7" s="9" t="n">
        <v>2</v>
      </c>
      <c r="B7" s="6" t="s">
        <v>63</v>
      </c>
      <c r="C7" s="4" t="s">
        <v>64</v>
      </c>
      <c r="D7" s="17" t="s">
        <v>65</v>
      </c>
      <c r="E7" s="8" t="n">
        <v>1</v>
      </c>
      <c r="F7" s="8" t="n">
        <v>2</v>
      </c>
      <c r="G7" s="9" t="n">
        <f aca="false">IF(E7=0,"开课前",F7-E7+1)</f>
        <v>2</v>
      </c>
      <c r="H7" s="8" t="n">
        <v>1</v>
      </c>
      <c r="I7" s="8" t="n">
        <v>2</v>
      </c>
      <c r="J7" s="9" t="n">
        <f aca="false">IF(H7=0,"开课前",I7-H7+1)</f>
        <v>2</v>
      </c>
      <c r="K7" s="8" t="n">
        <v>1</v>
      </c>
      <c r="L7" s="8" t="n">
        <v>2</v>
      </c>
      <c r="M7" s="9" t="n">
        <f aca="false">IF(K7=0,"开课前",L7-K7+1)</f>
        <v>2</v>
      </c>
      <c r="N7" s="4" t="s">
        <v>66</v>
      </c>
      <c r="O7" s="7" t="s">
        <v>61</v>
      </c>
      <c r="P7" s="4"/>
    </row>
    <row r="8" customFormat="false" ht="36" hidden="false" customHeight="true" outlineLevel="0" collapsed="false">
      <c r="A8" s="9" t="n">
        <v>3</v>
      </c>
      <c r="B8" s="6" t="s">
        <v>67</v>
      </c>
      <c r="C8" s="4" t="s">
        <v>68</v>
      </c>
      <c r="D8" s="17" t="s">
        <v>65</v>
      </c>
      <c r="E8" s="8" t="n">
        <v>3</v>
      </c>
      <c r="F8" s="8" t="n">
        <v>4</v>
      </c>
      <c r="G8" s="9" t="n">
        <f aca="false">IF(E8=0,"开课前",F8-E8+1)</f>
        <v>2</v>
      </c>
      <c r="H8" s="8" t="n">
        <v>3</v>
      </c>
      <c r="I8" s="8" t="n">
        <v>3</v>
      </c>
      <c r="J8" s="9" t="n">
        <f aca="false">IF(H8=0,"开课前",I8-H8+1)</f>
        <v>1</v>
      </c>
      <c r="K8" s="8" t="n">
        <v>3</v>
      </c>
      <c r="L8" s="8" t="n">
        <v>4</v>
      </c>
      <c r="M8" s="9" t="n">
        <f aca="false">IF(K8=0,"开课前",L8-K8+1)</f>
        <v>2</v>
      </c>
      <c r="N8" s="4" t="s">
        <v>69</v>
      </c>
      <c r="O8" s="7" t="s">
        <v>61</v>
      </c>
      <c r="P8" s="3" t="s">
        <v>70</v>
      </c>
    </row>
    <row r="9" customFormat="false" ht="66" hidden="false" customHeight="true" outlineLevel="0" collapsed="false">
      <c r="A9" s="9" t="n">
        <v>4</v>
      </c>
      <c r="B9" s="6" t="s">
        <v>71</v>
      </c>
      <c r="C9" s="4" t="s">
        <v>72</v>
      </c>
      <c r="D9" s="17" t="s">
        <v>65</v>
      </c>
      <c r="E9" s="8" t="n">
        <v>5</v>
      </c>
      <c r="F9" s="8" t="n">
        <v>5</v>
      </c>
      <c r="G9" s="9" t="n">
        <f aca="false">IF(E9=0,"开课前",F9-E9+1)</f>
        <v>1</v>
      </c>
      <c r="H9" s="8" t="n">
        <v>4</v>
      </c>
      <c r="I9" s="8" t="n">
        <v>4</v>
      </c>
      <c r="J9" s="9" t="n">
        <f aca="false">IF(H9=0,"开课前",I9-H9+1)</f>
        <v>1</v>
      </c>
      <c r="K9" s="8" t="n">
        <v>5</v>
      </c>
      <c r="L9" s="8" t="n">
        <v>5</v>
      </c>
      <c r="M9" s="9" t="n">
        <f aca="false">IF(K9=0,"开课前",L9-K9+1)</f>
        <v>1</v>
      </c>
      <c r="N9" s="4" t="s">
        <v>73</v>
      </c>
      <c r="O9" s="7" t="s">
        <v>61</v>
      </c>
      <c r="P9" s="4" t="s">
        <v>74</v>
      </c>
    </row>
    <row r="10" customFormat="false" ht="51" hidden="false" customHeight="true" outlineLevel="0" collapsed="false">
      <c r="A10" s="9" t="n">
        <v>5</v>
      </c>
      <c r="B10" s="6" t="s">
        <v>75</v>
      </c>
      <c r="C10" s="4" t="s">
        <v>76</v>
      </c>
      <c r="D10" s="17" t="s">
        <v>77</v>
      </c>
      <c r="E10" s="8" t="n">
        <v>6</v>
      </c>
      <c r="F10" s="8" t="n">
        <v>8</v>
      </c>
      <c r="G10" s="9" t="n">
        <f aca="false">IF(E10=0,"开课前",F10-E10+1)</f>
        <v>3</v>
      </c>
      <c r="H10" s="8" t="n">
        <v>5</v>
      </c>
      <c r="I10" s="8" t="n">
        <v>6</v>
      </c>
      <c r="J10" s="9" t="n">
        <f aca="false">IF(H10=0,"开课前",I10-H10+1)</f>
        <v>2</v>
      </c>
      <c r="K10" s="8" t="n">
        <v>6</v>
      </c>
      <c r="L10" s="8" t="n">
        <v>9</v>
      </c>
      <c r="M10" s="9" t="n">
        <f aca="false">IF(K10=0,"开课前",L10-K10+1)</f>
        <v>4</v>
      </c>
      <c r="N10" s="4" t="s">
        <v>78</v>
      </c>
      <c r="O10" s="7" t="s">
        <v>61</v>
      </c>
      <c r="P10" s="3" t="s">
        <v>79</v>
      </c>
    </row>
    <row r="11" customFormat="false" ht="36" hidden="false" customHeight="true" outlineLevel="0" collapsed="false">
      <c r="A11" s="9" t="n">
        <v>6</v>
      </c>
      <c r="B11" s="6" t="s">
        <v>80</v>
      </c>
      <c r="C11" s="4" t="s">
        <v>81</v>
      </c>
      <c r="D11" s="17" t="s">
        <v>82</v>
      </c>
      <c r="E11" s="8" t="n">
        <v>9</v>
      </c>
      <c r="F11" s="8" t="n">
        <v>9</v>
      </c>
      <c r="G11" s="9" t="n">
        <f aca="false">IF(E11=0,"开课前",F11-E11+1)</f>
        <v>1</v>
      </c>
      <c r="H11" s="8" t="n">
        <v>7</v>
      </c>
      <c r="I11" s="8" t="n">
        <v>7</v>
      </c>
      <c r="J11" s="9" t="n">
        <f aca="false">IF(H11=0,"开课前",I11-H11+1)</f>
        <v>1</v>
      </c>
      <c r="K11" s="8" t="n">
        <v>10</v>
      </c>
      <c r="L11" s="8" t="n">
        <v>11</v>
      </c>
      <c r="M11" s="9" t="n">
        <f aca="false">IF(K11=0,"开课前",L11-K11+1)</f>
        <v>2</v>
      </c>
      <c r="N11" s="4" t="s">
        <v>83</v>
      </c>
      <c r="O11" s="7" t="s">
        <v>61</v>
      </c>
      <c r="P11" s="3" t="s">
        <v>84</v>
      </c>
    </row>
    <row r="12" customFormat="false" ht="36" hidden="false" customHeight="true" outlineLevel="0" collapsed="false">
      <c r="A12" s="9" t="n">
        <v>7</v>
      </c>
      <c r="B12" s="6" t="s">
        <v>85</v>
      </c>
      <c r="C12" s="4" t="s">
        <v>86</v>
      </c>
      <c r="D12" s="17" t="s">
        <v>65</v>
      </c>
      <c r="E12" s="8" t="n">
        <v>10</v>
      </c>
      <c r="F12" s="8" t="n">
        <v>10</v>
      </c>
      <c r="G12" s="9" t="n">
        <f aca="false">IF(E12=0,"开课前",F12-E12+1)</f>
        <v>1</v>
      </c>
      <c r="H12" s="8" t="n">
        <v>8</v>
      </c>
      <c r="I12" s="8" t="n">
        <v>8</v>
      </c>
      <c r="J12" s="9" t="n">
        <f aca="false">IF(H12=0,"开课前",I12-H12+1)</f>
        <v>1</v>
      </c>
      <c r="K12" s="8" t="n">
        <v>12</v>
      </c>
      <c r="L12" s="8" t="n">
        <v>12</v>
      </c>
      <c r="M12" s="9" t="n">
        <f aca="false">IF(K12=0,"开课前",L12-K12+1)</f>
        <v>1</v>
      </c>
      <c r="N12" s="4" t="s">
        <v>87</v>
      </c>
      <c r="O12" s="7" t="s">
        <v>61</v>
      </c>
      <c r="P12" s="3"/>
    </row>
    <row r="13" customFormat="false" ht="36" hidden="false" customHeight="true" outlineLevel="0" collapsed="false">
      <c r="A13" s="18"/>
      <c r="B13" s="19" t="s">
        <v>88</v>
      </c>
      <c r="C13" s="18"/>
      <c r="D13" s="18"/>
      <c r="E13" s="18"/>
      <c r="F13" s="18"/>
      <c r="G13" s="20" t="n">
        <f aca="false">MAX(F6:F12)</f>
        <v>10</v>
      </c>
      <c r="H13" s="18"/>
      <c r="I13" s="18"/>
      <c r="J13" s="20" t="n">
        <f aca="false">MAX(I6:I12)</f>
        <v>8</v>
      </c>
      <c r="K13" s="18"/>
      <c r="L13" s="18"/>
      <c r="M13" s="20" t="n">
        <f aca="false">MAX(L6:L12)</f>
        <v>12</v>
      </c>
      <c r="N13" s="18"/>
      <c r="O13" s="18"/>
      <c r="P13" s="18"/>
    </row>
  </sheetData>
  <mergeCells count="11">
    <mergeCell ref="A2:P2"/>
    <mergeCell ref="A4:A5"/>
    <mergeCell ref="B4:B5"/>
    <mergeCell ref="C4:C5"/>
    <mergeCell ref="D4:D5"/>
    <mergeCell ref="E4:G4"/>
    <mergeCell ref="H4:J4"/>
    <mergeCell ref="K4:M4"/>
    <mergeCell ref="N4:N5"/>
    <mergeCell ref="O4:O5"/>
    <mergeCell ref="P4:P5"/>
  </mergeCells>
  <dataValidations count="1">
    <dataValidation allowBlank="true" errorStyle="stop" operator="between" showDropDown="false" showErrorMessage="false" showInputMessage="false" sqref="O6:O12" type="list">
      <formula1>"未开始,进行中,已完成"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4" min="3" style="0" width="32"/>
    <col collapsed="false" customWidth="true" hidden="false" outlineLevel="0" max="5" min="5" style="0" width="22"/>
    <col collapsed="false" customWidth="true" hidden="false" outlineLevel="0" max="6" min="6" style="0" width="36"/>
  </cols>
  <sheetData>
    <row r="1" customFormat="false" ht="25.5" hidden="false" customHeight="true" outlineLevel="0" collapsed="false">
      <c r="A1" s="1" t="s">
        <v>89</v>
      </c>
    </row>
    <row r="2" customFormat="false" ht="21" hidden="false" customHeight="true" outlineLevel="0" collapsed="false">
      <c r="A2" s="21" t="s">
        <v>90</v>
      </c>
      <c r="B2" s="21"/>
      <c r="C2" s="21"/>
      <c r="D2" s="21"/>
      <c r="E2" s="21"/>
      <c r="F2" s="21"/>
    </row>
    <row r="4" customFormat="false" ht="30" hidden="false" customHeight="true" outlineLevel="0" collapsed="false">
      <c r="A4" s="5" t="s">
        <v>91</v>
      </c>
      <c r="B4" s="5" t="s">
        <v>92</v>
      </c>
      <c r="C4" s="5" t="s">
        <v>93</v>
      </c>
      <c r="D4" s="5" t="s">
        <v>94</v>
      </c>
      <c r="E4" s="5" t="s">
        <v>95</v>
      </c>
      <c r="F4" s="5" t="s">
        <v>96</v>
      </c>
    </row>
    <row r="5" customFormat="false" ht="21" hidden="false" customHeight="true" outlineLevel="0" collapsed="false">
      <c r="A5" s="11" t="n">
        <v>1</v>
      </c>
      <c r="B5" s="19" t="s">
        <v>97</v>
      </c>
      <c r="C5" s="22" t="s">
        <v>98</v>
      </c>
      <c r="D5" s="22" t="s">
        <v>99</v>
      </c>
      <c r="E5" s="18" t="s">
        <v>100</v>
      </c>
      <c r="F5" s="18" t="s">
        <v>100</v>
      </c>
    </row>
    <row r="6" customFormat="false" ht="36" hidden="false" customHeight="true" outlineLevel="0" collapsed="false">
      <c r="A6" s="9" t="n">
        <v>2</v>
      </c>
      <c r="B6" s="6" t="s">
        <v>101</v>
      </c>
      <c r="C6" s="4" t="s">
        <v>102</v>
      </c>
      <c r="D6" s="4" t="s">
        <v>103</v>
      </c>
      <c r="E6" s="4" t="s">
        <v>104</v>
      </c>
      <c r="F6" s="4" t="s">
        <v>105</v>
      </c>
    </row>
    <row r="7" customFormat="false" ht="36" hidden="false" customHeight="true" outlineLevel="0" collapsed="false">
      <c r="A7" s="9" t="n">
        <v>3</v>
      </c>
      <c r="B7" s="6" t="s">
        <v>106</v>
      </c>
      <c r="C7" s="4" t="s">
        <v>107</v>
      </c>
      <c r="D7" s="4" t="s">
        <v>108</v>
      </c>
      <c r="E7" s="4" t="s">
        <v>109</v>
      </c>
      <c r="F7" s="3" t="s">
        <v>110</v>
      </c>
    </row>
    <row r="8" customFormat="false" ht="21" hidden="false" customHeight="true" outlineLevel="0" collapsed="false">
      <c r="A8" s="9" t="n">
        <v>4</v>
      </c>
      <c r="B8" s="6" t="s">
        <v>111</v>
      </c>
      <c r="C8" s="4" t="s">
        <v>112</v>
      </c>
      <c r="D8" s="4" t="s">
        <v>113</v>
      </c>
      <c r="E8" s="4" t="s">
        <v>114</v>
      </c>
      <c r="F8" s="4" t="s">
        <v>115</v>
      </c>
    </row>
    <row r="9" customFormat="false" ht="36" hidden="false" customHeight="true" outlineLevel="0" collapsed="false">
      <c r="A9" s="9" t="n">
        <v>5</v>
      </c>
      <c r="B9" s="6" t="s">
        <v>116</v>
      </c>
      <c r="C9" s="4" t="s">
        <v>117</v>
      </c>
      <c r="D9" s="4" t="s">
        <v>118</v>
      </c>
      <c r="E9" s="4" t="s">
        <v>119</v>
      </c>
      <c r="F9" s="4" t="s">
        <v>120</v>
      </c>
    </row>
    <row r="10" customFormat="false" ht="36" hidden="false" customHeight="true" outlineLevel="0" collapsed="false">
      <c r="A10" s="9" t="n">
        <v>6</v>
      </c>
      <c r="B10" s="6" t="s">
        <v>121</v>
      </c>
      <c r="C10" s="4" t="s">
        <v>122</v>
      </c>
      <c r="D10" s="4" t="s">
        <v>123</v>
      </c>
      <c r="E10" s="4" t="s">
        <v>124</v>
      </c>
      <c r="F10" s="4" t="s">
        <v>125</v>
      </c>
    </row>
    <row r="11" customFormat="false" ht="36" hidden="false" customHeight="true" outlineLevel="0" collapsed="false">
      <c r="A11" s="9" t="n">
        <v>7</v>
      </c>
      <c r="B11" s="6" t="s">
        <v>126</v>
      </c>
      <c r="C11" s="4" t="s">
        <v>127</v>
      </c>
      <c r="D11" s="4" t="s">
        <v>128</v>
      </c>
      <c r="E11" s="4" t="s">
        <v>129</v>
      </c>
      <c r="F11" s="4" t="s">
        <v>130</v>
      </c>
    </row>
    <row r="12" customFormat="false" ht="36" hidden="false" customHeight="true" outlineLevel="0" collapsed="false">
      <c r="A12" s="11" t="n">
        <v>8</v>
      </c>
      <c r="B12" s="19" t="s">
        <v>131</v>
      </c>
      <c r="C12" s="22" t="s">
        <v>132</v>
      </c>
      <c r="D12" s="22" t="s">
        <v>133</v>
      </c>
      <c r="E12" s="18" t="s">
        <v>100</v>
      </c>
      <c r="F12" s="18" t="s">
        <v>100</v>
      </c>
    </row>
    <row r="14" customFormat="false" ht="15" hidden="false" customHeight="false" outlineLevel="0" collapsed="false">
      <c r="A14" s="23" t="s">
        <v>134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28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32"/>
    <col collapsed="false" customWidth="true" hidden="false" outlineLevel="0" max="7" min="7" style="0" width="20"/>
    <col collapsed="false" customWidth="true" hidden="false" outlineLevel="0" max="8" min="8" style="0" width="10"/>
    <col collapsed="false" customWidth="true" hidden="false" outlineLevel="0" max="9" min="9" style="0" width="22"/>
    <col collapsed="false" customWidth="true" hidden="false" outlineLevel="0" max="10" min="10" style="0" width="10"/>
  </cols>
  <sheetData>
    <row r="1" customFormat="false" ht="25.5" hidden="false" customHeight="true" outlineLevel="0" collapsed="false">
      <c r="A1" s="1" t="s">
        <v>135</v>
      </c>
    </row>
    <row r="2" customFormat="false" ht="21" hidden="false" customHeight="true" outlineLevel="0" collapsed="false">
      <c r="A2" s="21" t="s">
        <v>136</v>
      </c>
      <c r="B2" s="21"/>
      <c r="C2" s="21"/>
      <c r="D2" s="21"/>
      <c r="E2" s="21"/>
      <c r="F2" s="21"/>
      <c r="G2" s="21"/>
      <c r="H2" s="21"/>
      <c r="I2" s="21"/>
      <c r="J2" s="21"/>
    </row>
    <row r="4" customFormat="false" ht="30" hidden="false" customHeight="true" outlineLevel="0" collapsed="false">
      <c r="A4" s="5" t="s">
        <v>137</v>
      </c>
      <c r="B4" s="5" t="s">
        <v>138</v>
      </c>
      <c r="C4" s="5" t="s">
        <v>139</v>
      </c>
      <c r="D4" s="5" t="s">
        <v>140</v>
      </c>
      <c r="E4" s="5" t="s">
        <v>141</v>
      </c>
      <c r="F4" s="5" t="s">
        <v>142</v>
      </c>
      <c r="G4" s="5" t="s">
        <v>143</v>
      </c>
      <c r="H4" s="5" t="s">
        <v>144</v>
      </c>
      <c r="I4" s="5" t="s">
        <v>145</v>
      </c>
      <c r="J4" s="5" t="s">
        <v>52</v>
      </c>
    </row>
    <row r="5" customFormat="false" ht="36" hidden="false" customHeight="true" outlineLevel="0" collapsed="false">
      <c r="A5" s="17" t="s">
        <v>146</v>
      </c>
      <c r="B5" s="8" t="n">
        <v>4</v>
      </c>
      <c r="C5" s="4" t="s">
        <v>147</v>
      </c>
      <c r="D5" s="4" t="s">
        <v>101</v>
      </c>
      <c r="E5" s="17" t="s">
        <v>148</v>
      </c>
      <c r="F5" s="4" t="s">
        <v>149</v>
      </c>
      <c r="G5" s="4" t="s">
        <v>150</v>
      </c>
      <c r="H5" s="24"/>
      <c r="I5" s="24"/>
      <c r="J5" s="7" t="s">
        <v>61</v>
      </c>
    </row>
    <row r="6" customFormat="false" ht="36" hidden="false" customHeight="true" outlineLevel="0" collapsed="false">
      <c r="A6" s="17" t="s">
        <v>151</v>
      </c>
      <c r="B6" s="8" t="n">
        <v>4</v>
      </c>
      <c r="C6" s="4" t="s">
        <v>152</v>
      </c>
      <c r="D6" s="4" t="s">
        <v>153</v>
      </c>
      <c r="E6" s="17" t="s">
        <v>148</v>
      </c>
      <c r="F6" s="4" t="s">
        <v>154</v>
      </c>
      <c r="G6" s="4" t="s">
        <v>150</v>
      </c>
      <c r="H6" s="24"/>
      <c r="I6" s="24"/>
      <c r="J6" s="7" t="s">
        <v>61</v>
      </c>
    </row>
    <row r="7" customFormat="false" ht="36" hidden="false" customHeight="true" outlineLevel="0" collapsed="false">
      <c r="A7" s="17" t="s">
        <v>113</v>
      </c>
      <c r="B7" s="8" t="n">
        <v>5</v>
      </c>
      <c r="C7" s="4" t="s">
        <v>155</v>
      </c>
      <c r="D7" s="4" t="s">
        <v>156</v>
      </c>
      <c r="E7" s="17" t="s">
        <v>157</v>
      </c>
      <c r="F7" s="4" t="s">
        <v>115</v>
      </c>
      <c r="G7" s="4" t="s">
        <v>150</v>
      </c>
      <c r="H7" s="24"/>
      <c r="I7" s="24"/>
      <c r="J7" s="7" t="s">
        <v>61</v>
      </c>
    </row>
    <row r="8" customFormat="false" ht="36" hidden="false" customHeight="true" outlineLevel="0" collapsed="false">
      <c r="A8" s="17" t="s">
        <v>118</v>
      </c>
      <c r="B8" s="8" t="n">
        <v>4</v>
      </c>
      <c r="C8" s="4" t="s">
        <v>158</v>
      </c>
      <c r="D8" s="4" t="s">
        <v>159</v>
      </c>
      <c r="E8" s="17" t="s">
        <v>160</v>
      </c>
      <c r="F8" s="4" t="s">
        <v>120</v>
      </c>
      <c r="G8" s="4" t="s">
        <v>150</v>
      </c>
      <c r="H8" s="24"/>
      <c r="I8" s="24"/>
      <c r="J8" s="7" t="s">
        <v>61</v>
      </c>
    </row>
    <row r="9" customFormat="false" ht="36" hidden="false" customHeight="true" outlineLevel="0" collapsed="false">
      <c r="A9" s="17" t="s">
        <v>161</v>
      </c>
      <c r="B9" s="8" t="n">
        <v>4</v>
      </c>
      <c r="C9" s="4" t="s">
        <v>162</v>
      </c>
      <c r="D9" s="4" t="s">
        <v>163</v>
      </c>
      <c r="E9" s="17" t="s">
        <v>164</v>
      </c>
      <c r="F9" s="4" t="s">
        <v>165</v>
      </c>
      <c r="G9" s="4" t="s">
        <v>150</v>
      </c>
      <c r="H9" s="24"/>
      <c r="I9" s="24"/>
      <c r="J9" s="7" t="s">
        <v>61</v>
      </c>
    </row>
    <row r="10" customFormat="false" ht="36" hidden="false" customHeight="true" outlineLevel="0" collapsed="false">
      <c r="A10" s="17" t="s">
        <v>166</v>
      </c>
      <c r="B10" s="8" t="n">
        <v>4</v>
      </c>
      <c r="C10" s="4" t="s">
        <v>167</v>
      </c>
      <c r="D10" s="3" t="s">
        <v>168</v>
      </c>
      <c r="E10" s="17" t="s">
        <v>169</v>
      </c>
      <c r="F10" s="4" t="s">
        <v>125</v>
      </c>
      <c r="G10" s="4" t="s">
        <v>150</v>
      </c>
      <c r="H10" s="24"/>
      <c r="I10" s="24"/>
      <c r="J10" s="7" t="s">
        <v>61</v>
      </c>
    </row>
    <row r="11" customFormat="false" ht="36" hidden="false" customHeight="true" outlineLevel="0" collapsed="false">
      <c r="A11" s="17" t="s">
        <v>170</v>
      </c>
      <c r="B11" s="8" t="n">
        <v>4</v>
      </c>
      <c r="C11" s="4" t="s">
        <v>171</v>
      </c>
      <c r="D11" s="3" t="s">
        <v>172</v>
      </c>
      <c r="E11" s="17" t="s">
        <v>169</v>
      </c>
      <c r="F11" s="4" t="s">
        <v>173</v>
      </c>
      <c r="G11" s="4" t="s">
        <v>150</v>
      </c>
      <c r="H11" s="24"/>
      <c r="I11" s="24"/>
      <c r="J11" s="7" t="s">
        <v>61</v>
      </c>
    </row>
    <row r="12" customFormat="false" ht="36" hidden="false" customHeight="true" outlineLevel="0" collapsed="false">
      <c r="A12" s="17" t="s">
        <v>174</v>
      </c>
      <c r="B12" s="8" t="n">
        <v>5</v>
      </c>
      <c r="C12" s="4" t="s">
        <v>175</v>
      </c>
      <c r="D12" s="4" t="s">
        <v>176</v>
      </c>
      <c r="E12" s="17" t="s">
        <v>177</v>
      </c>
      <c r="F12" s="4" t="s">
        <v>130</v>
      </c>
      <c r="G12" s="4" t="s">
        <v>150</v>
      </c>
      <c r="H12" s="24"/>
      <c r="I12" s="24"/>
      <c r="J12" s="7" t="s">
        <v>61</v>
      </c>
    </row>
    <row r="13" customFormat="false" ht="36" hidden="false" customHeight="true" outlineLevel="0" collapsed="false">
      <c r="A13" s="25" t="s">
        <v>178</v>
      </c>
      <c r="B13" s="25" t="n">
        <f aca="false">SUM(B5:B12)</f>
        <v>34</v>
      </c>
      <c r="C13" s="26" t="str">
        <f aca="false">IF(B13=数据需求!B5,"与班级人数一致","与班级人数不一致，请核对")</f>
        <v>与班级人数一致</v>
      </c>
      <c r="D13" s="18"/>
      <c r="E13" s="18"/>
      <c r="F13" s="18"/>
      <c r="G13" s="18"/>
      <c r="H13" s="18"/>
      <c r="I13" s="18"/>
      <c r="J13" s="18"/>
    </row>
  </sheetData>
  <mergeCells count="1">
    <mergeCell ref="A2:J2"/>
  </mergeCells>
  <dataValidations count="1">
    <dataValidation allowBlank="true" errorStyle="stop" operator="between" showDropDown="false" showErrorMessage="false" showInputMessage="false" sqref="J5:J12" type="list">
      <formula1>"未开始,进行中,已完成"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52"/>
  </cols>
  <sheetData>
    <row r="1" customFormat="false" ht="25.5" hidden="false" customHeight="true" outlineLevel="0" collapsed="false">
      <c r="A1" s="1" t="s">
        <v>179</v>
      </c>
    </row>
    <row r="2" customFormat="false" ht="36" hidden="false" customHeight="true" outlineLevel="0" collapsed="false">
      <c r="A2" s="21" t="s">
        <v>180</v>
      </c>
      <c r="B2" s="21"/>
      <c r="C2" s="21"/>
      <c r="D2" s="21"/>
    </row>
    <row r="4" customFormat="false" ht="30" hidden="false" customHeight="true" outlineLevel="0" collapsed="false">
      <c r="A4" s="5" t="s">
        <v>181</v>
      </c>
      <c r="B4" s="5" t="s">
        <v>182</v>
      </c>
      <c r="C4" s="5" t="s">
        <v>183</v>
      </c>
      <c r="D4" s="5" t="s">
        <v>184</v>
      </c>
    </row>
    <row r="5" customFormat="false" ht="21" hidden="false" customHeight="true" outlineLevel="0" collapsed="false">
      <c r="A5" s="4" t="s">
        <v>185</v>
      </c>
      <c r="B5" s="8" t="n">
        <v>34</v>
      </c>
      <c r="C5" s="17" t="s">
        <v>186</v>
      </c>
      <c r="D5" s="4" t="s">
        <v>187</v>
      </c>
    </row>
    <row r="6" customFormat="false" ht="21" hidden="false" customHeight="true" outlineLevel="0" collapsed="false">
      <c r="A6" s="4" t="s">
        <v>188</v>
      </c>
      <c r="B6" s="10" t="n">
        <f aca="false">COUNTA(分组分工!A5:A12)</f>
        <v>8</v>
      </c>
      <c r="C6" s="17" t="s">
        <v>137</v>
      </c>
      <c r="D6" s="4" t="s">
        <v>189</v>
      </c>
    </row>
    <row r="7" customFormat="false" ht="21" hidden="false" customHeight="true" outlineLevel="0" collapsed="false">
      <c r="A7" s="4" t="s">
        <v>190</v>
      </c>
      <c r="B7" s="8" t="n">
        <v>3</v>
      </c>
      <c r="C7" s="17" t="s">
        <v>191</v>
      </c>
      <c r="D7" s="4" t="s">
        <v>192</v>
      </c>
    </row>
    <row r="8" customFormat="false" ht="21" hidden="false" customHeight="true" outlineLevel="0" collapsed="false">
      <c r="A8" s="4" t="s">
        <v>193</v>
      </c>
      <c r="B8" s="8" t="n">
        <v>3</v>
      </c>
      <c r="C8" s="17" t="s">
        <v>194</v>
      </c>
      <c r="D8" s="4" t="s">
        <v>195</v>
      </c>
    </row>
    <row r="9" customFormat="false" ht="21" hidden="false" customHeight="true" outlineLevel="0" collapsed="false">
      <c r="A9" s="4" t="s">
        <v>196</v>
      </c>
      <c r="B9" s="8" t="n">
        <v>5</v>
      </c>
      <c r="C9" s="17" t="s">
        <v>194</v>
      </c>
      <c r="D9" s="4" t="s">
        <v>195</v>
      </c>
    </row>
    <row r="10" customFormat="false" ht="21" hidden="false" customHeight="true" outlineLevel="0" collapsed="false">
      <c r="A10" s="4" t="s">
        <v>197</v>
      </c>
      <c r="B10" s="8" t="n">
        <v>3</v>
      </c>
      <c r="C10" s="17" t="s">
        <v>198</v>
      </c>
      <c r="D10" s="4" t="s">
        <v>199</v>
      </c>
    </row>
    <row r="11" customFormat="false" ht="36" hidden="false" customHeight="true" outlineLevel="0" collapsed="false">
      <c r="A11" s="4" t="s">
        <v>200</v>
      </c>
      <c r="B11" s="8" t="n">
        <v>6</v>
      </c>
      <c r="C11" s="17" t="s">
        <v>201</v>
      </c>
      <c r="D11" s="4" t="s">
        <v>202</v>
      </c>
    </row>
    <row r="12" customFormat="false" ht="21" hidden="false" customHeight="true" outlineLevel="0" collapsed="false">
      <c r="A12" s="4" t="s">
        <v>203</v>
      </c>
      <c r="B12" s="8" t="n">
        <v>150</v>
      </c>
      <c r="C12" s="17" t="s">
        <v>204</v>
      </c>
      <c r="D12" s="4" t="s">
        <v>205</v>
      </c>
    </row>
    <row r="13" customFormat="false" ht="21" hidden="false" customHeight="true" outlineLevel="0" collapsed="false">
      <c r="A13" s="4" t="s">
        <v>206</v>
      </c>
      <c r="B13" s="8" t="n">
        <v>200</v>
      </c>
      <c r="C13" s="17" t="s">
        <v>204</v>
      </c>
      <c r="D13" s="4" t="s">
        <v>205</v>
      </c>
    </row>
    <row r="14" customFormat="false" ht="36" hidden="false" customHeight="true" outlineLevel="0" collapsed="false">
      <c r="A14" s="4" t="s">
        <v>207</v>
      </c>
      <c r="B14" s="8" t="n">
        <v>30</v>
      </c>
      <c r="C14" s="17" t="s">
        <v>204</v>
      </c>
      <c r="D14" s="4" t="s">
        <v>208</v>
      </c>
    </row>
    <row r="15" customFormat="false" ht="21" hidden="false" customHeight="true" outlineLevel="0" collapsed="false">
      <c r="A15" s="4" t="s">
        <v>209</v>
      </c>
      <c r="B15" s="8" t="n">
        <v>10</v>
      </c>
      <c r="C15" s="17" t="s">
        <v>194</v>
      </c>
      <c r="D15" s="4" t="s">
        <v>210</v>
      </c>
    </row>
    <row r="17" customFormat="false" ht="30" hidden="false" customHeight="true" outlineLevel="0" collapsed="false">
      <c r="A17" s="5" t="s">
        <v>211</v>
      </c>
      <c r="B17" s="5" t="s">
        <v>212</v>
      </c>
      <c r="C17" s="5" t="s">
        <v>213</v>
      </c>
      <c r="D17" s="5" t="s">
        <v>214</v>
      </c>
    </row>
    <row r="18" customFormat="false" ht="21" hidden="false" customHeight="true" outlineLevel="0" collapsed="false">
      <c r="A18" s="4" t="s">
        <v>215</v>
      </c>
      <c r="B18" s="27" t="n">
        <f aca="false">B7*B8*B10</f>
        <v>27</v>
      </c>
      <c r="C18" s="27" t="n">
        <f aca="false">B7*B9*B10</f>
        <v>45</v>
      </c>
      <c r="D18" s="4" t="s">
        <v>216</v>
      </c>
    </row>
    <row r="19" customFormat="false" ht="21" hidden="false" customHeight="true" outlineLevel="0" collapsed="false">
      <c r="A19" s="4" t="s">
        <v>217</v>
      </c>
      <c r="B19" s="28" t="n">
        <f aca="false">B18*B6/60</f>
        <v>3.6</v>
      </c>
      <c r="C19" s="28" t="n">
        <f aca="false">C18*B6/60</f>
        <v>6</v>
      </c>
      <c r="D19" s="4" t="s">
        <v>218</v>
      </c>
    </row>
    <row r="20" customFormat="false" ht="21" hidden="false" customHeight="true" outlineLevel="0" collapsed="false">
      <c r="A20" s="4" t="s">
        <v>219</v>
      </c>
      <c r="B20" s="27" t="n">
        <f aca="false">B11*B12</f>
        <v>900</v>
      </c>
      <c r="C20" s="27" t="n">
        <f aca="false">B11*B13</f>
        <v>1200</v>
      </c>
      <c r="D20" s="4" t="s">
        <v>220</v>
      </c>
    </row>
    <row r="21" customFormat="false" ht="21" hidden="false" customHeight="true" outlineLevel="0" collapsed="false">
      <c r="A21" s="4" t="s">
        <v>221</v>
      </c>
      <c r="B21" s="27" t="n">
        <f aca="false">B14*B5</f>
        <v>1020</v>
      </c>
      <c r="C21" s="27" t="n">
        <f aca="false">B14*B5</f>
        <v>1020</v>
      </c>
      <c r="D21" s="4" t="s">
        <v>222</v>
      </c>
    </row>
    <row r="22" customFormat="false" ht="21" hidden="false" customHeight="true" outlineLevel="0" collapsed="false">
      <c r="A22" s="4" t="s">
        <v>223</v>
      </c>
      <c r="B22" s="9" t="str">
        <f aca="false">IF(B21&gt;=B20,"达到下限","未达到下限")</f>
        <v>达到下限</v>
      </c>
      <c r="C22" s="9" t="str">
        <f aca="false">IF(C21&gt;=C20,"达到上限","未达到上限，可用 AI 改写扩充（须人工审核）")</f>
        <v>未达到上限，可用 AI 改写扩充（须人工审核）</v>
      </c>
      <c r="D22" s="4" t="s">
        <v>224</v>
      </c>
    </row>
    <row r="23" customFormat="false" ht="36" hidden="false" customHeight="true" outlineLevel="0" collapsed="false">
      <c r="A23" s="4" t="s">
        <v>225</v>
      </c>
      <c r="B23" s="27" t="n">
        <f aca="false">B15*B6</f>
        <v>80</v>
      </c>
      <c r="C23" s="27" t="n">
        <f aca="false">B15*B6</f>
        <v>80</v>
      </c>
      <c r="D23" s="4" t="s">
        <v>226</v>
      </c>
    </row>
    <row r="25" customFormat="false" ht="30" hidden="false" customHeight="true" outlineLevel="0" collapsed="false">
      <c r="A25" s="5" t="s">
        <v>227</v>
      </c>
      <c r="B25" s="5" t="s">
        <v>228</v>
      </c>
      <c r="C25" s="5" t="s">
        <v>229</v>
      </c>
      <c r="D25" s="5" t="s">
        <v>184</v>
      </c>
    </row>
    <row r="26" customFormat="false" ht="36" hidden="false" customHeight="true" outlineLevel="0" collapsed="false">
      <c r="A26" s="4" t="s">
        <v>230</v>
      </c>
      <c r="B26" s="17" t="s">
        <v>231</v>
      </c>
      <c r="C26" s="17" t="s">
        <v>232</v>
      </c>
      <c r="D26" s="4" t="s">
        <v>233</v>
      </c>
    </row>
    <row r="27" customFormat="false" ht="36" hidden="false" customHeight="true" outlineLevel="0" collapsed="false">
      <c r="A27" s="4" t="s">
        <v>234</v>
      </c>
      <c r="B27" s="17" t="s">
        <v>235</v>
      </c>
      <c r="C27" s="17" t="s">
        <v>236</v>
      </c>
      <c r="D27" s="4" t="s">
        <v>237</v>
      </c>
    </row>
    <row r="28" customFormat="false" ht="21" hidden="false" customHeight="true" outlineLevel="0" collapsed="false">
      <c r="A28" s="4" t="s">
        <v>238</v>
      </c>
      <c r="B28" s="17" t="s">
        <v>231</v>
      </c>
      <c r="C28" s="17" t="s">
        <v>232</v>
      </c>
      <c r="D28" s="4" t="s">
        <v>239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30"/>
    <col collapsed="false" customWidth="true" hidden="false" outlineLevel="0" max="4" min="4" style="0" width="16"/>
  </cols>
  <sheetData>
    <row r="1" customFormat="false" ht="25.5" hidden="false" customHeight="true" outlineLevel="0" collapsed="false">
      <c r="A1" s="1" t="s">
        <v>17</v>
      </c>
    </row>
    <row r="2" customFormat="false" ht="36" hidden="false" customHeight="true" outlineLevel="0" collapsed="false">
      <c r="A2" s="21" t="s">
        <v>240</v>
      </c>
      <c r="B2" s="21"/>
      <c r="C2" s="21"/>
      <c r="D2" s="21"/>
    </row>
    <row r="4" customFormat="false" ht="30" hidden="false" customHeight="true" outlineLevel="0" collapsed="false">
      <c r="A4" s="5" t="s">
        <v>241</v>
      </c>
      <c r="B4" s="5" t="s">
        <v>22</v>
      </c>
      <c r="C4" s="5" t="s">
        <v>23</v>
      </c>
      <c r="D4" s="5" t="s">
        <v>242</v>
      </c>
    </row>
    <row r="5" customFormat="false" ht="21" hidden="false" customHeight="true" outlineLevel="0" collapsed="false">
      <c r="A5" s="6" t="s">
        <v>243</v>
      </c>
      <c r="B5" s="4" t="s">
        <v>244</v>
      </c>
      <c r="C5" s="3" t="s">
        <v>245</v>
      </c>
      <c r="D5" s="17" t="s">
        <v>246</v>
      </c>
    </row>
    <row r="6" customFormat="false" ht="21" hidden="false" customHeight="true" outlineLevel="0" collapsed="false">
      <c r="A6" s="6" t="s">
        <v>247</v>
      </c>
      <c r="B6" s="4" t="s">
        <v>248</v>
      </c>
      <c r="C6" s="3" t="s">
        <v>249</v>
      </c>
      <c r="D6" s="17" t="s">
        <v>246</v>
      </c>
    </row>
    <row r="7" customFormat="false" ht="21" hidden="false" customHeight="true" outlineLevel="0" collapsed="false">
      <c r="A7" s="6" t="s">
        <v>114</v>
      </c>
      <c r="B7" s="4" t="s">
        <v>250</v>
      </c>
      <c r="C7" s="4" t="s">
        <v>251</v>
      </c>
      <c r="D7" s="17" t="s">
        <v>157</v>
      </c>
    </row>
    <row r="8" customFormat="false" ht="36" hidden="false" customHeight="true" outlineLevel="0" collapsed="false">
      <c r="A8" s="6" t="s">
        <v>109</v>
      </c>
      <c r="B8" s="4" t="s">
        <v>252</v>
      </c>
      <c r="C8" s="4" t="s">
        <v>253</v>
      </c>
      <c r="D8" s="17" t="s">
        <v>254</v>
      </c>
    </row>
    <row r="9" customFormat="false" ht="21" hidden="false" customHeight="true" outlineLevel="0" collapsed="false">
      <c r="A9" s="6" t="s">
        <v>124</v>
      </c>
      <c r="B9" s="4" t="s">
        <v>255</v>
      </c>
      <c r="C9" s="4" t="s">
        <v>256</v>
      </c>
      <c r="D9" s="17" t="s">
        <v>169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0"/>
  </cols>
  <sheetData>
    <row r="1" customFormat="false" ht="25.5" hidden="false" customHeight="true" outlineLevel="0" collapsed="false">
      <c r="A1" s="1" t="s">
        <v>257</v>
      </c>
    </row>
    <row r="3" customFormat="false" ht="30" hidden="false" customHeight="true" outlineLevel="0" collapsed="false">
      <c r="A3" s="5" t="s">
        <v>44</v>
      </c>
      <c r="B3" s="5" t="s">
        <v>258</v>
      </c>
    </row>
    <row r="4" customFormat="false" ht="36" hidden="false" customHeight="true" outlineLevel="0" collapsed="false">
      <c r="A4" s="9" t="n">
        <v>1</v>
      </c>
      <c r="B4" s="4" t="s">
        <v>259</v>
      </c>
    </row>
    <row r="5" customFormat="false" ht="21" hidden="false" customHeight="true" outlineLevel="0" collapsed="false">
      <c r="A5" s="9" t="n">
        <v>2</v>
      </c>
      <c r="B5" s="4" t="s">
        <v>260</v>
      </c>
    </row>
    <row r="6" customFormat="false" ht="21" hidden="false" customHeight="true" outlineLevel="0" collapsed="false">
      <c r="A6" s="9" t="n">
        <v>3</v>
      </c>
      <c r="B6" s="4" t="s">
        <v>261</v>
      </c>
    </row>
    <row r="7" customFormat="false" ht="21" hidden="false" customHeight="true" outlineLevel="0" collapsed="false">
      <c r="A7" s="9" t="n">
        <v>4</v>
      </c>
      <c r="B7" s="4" t="s">
        <v>262</v>
      </c>
    </row>
    <row r="8" customFormat="false" ht="36" hidden="false" customHeight="true" outlineLevel="0" collapsed="false">
      <c r="A8" s="9" t="n">
        <v>5</v>
      </c>
      <c r="B8" s="4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2026-10-07T04:46:30Z</dcterms:created>
  <dc:creator>openpyxl</dc:creator>
  <dc:description/>
  <dc:language>en-US</dc:language>
  <cp:lastModifiedBy/>
  <dcterms:modified xsi:type="dcterms:W3CDTF">2026-10-07T04:46:30Z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